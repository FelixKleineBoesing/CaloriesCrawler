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felix\Documents\Repos\yazioCrawler\"/>
    </mc:Choice>
  </mc:AlternateContent>
  <xr:revisionPtr revIDLastSave="0" documentId="13_ncr:1_{6DD9141F-59A4-4D79-830C-0B46C147FD7A}" xr6:coauthVersionLast="47" xr6:coauthVersionMax="47" xr10:uidLastSave="{00000000-0000-0000-0000-000000000000}"/>
  <bookViews>
    <workbookView xWindow="-108" yWindow="-108" windowWidth="23256" windowHeight="12456" xr2:uid="{00000000-000D-0000-FFFF-FFFF00000000}"/>
  </bookViews>
  <sheets>
    <sheet name="Desserts" sheetId="1" r:id="rId1"/>
    <sheet name="Breakfast" sheetId="2" r:id="rId2"/>
    <sheet name="Lunch" sheetId="3" r:id="rId3"/>
    <sheet name="Ingredients"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3" i="1" l="1"/>
  <c r="CK3" i="1"/>
  <c r="CJ3" i="1"/>
  <c r="CI3" i="1"/>
  <c r="CE3" i="1"/>
  <c r="CD3" i="1"/>
  <c r="CC3" i="1"/>
  <c r="CB3" i="1"/>
  <c r="BX3" i="1"/>
  <c r="BW3" i="1"/>
  <c r="BV3" i="1"/>
  <c r="BU3" i="1"/>
  <c r="BQ3" i="1"/>
  <c r="BP3" i="1"/>
  <c r="BO3" i="1"/>
  <c r="BN3" i="1"/>
  <c r="BJ3" i="1"/>
  <c r="BI3" i="1"/>
  <c r="BH3" i="1"/>
  <c r="BG3" i="1"/>
  <c r="BC3" i="1"/>
  <c r="BB3" i="1"/>
  <c r="BA3" i="1"/>
  <c r="AZ3" i="1"/>
  <c r="AV3" i="1"/>
  <c r="AU3" i="1"/>
  <c r="AT3" i="1"/>
  <c r="AS3" i="1"/>
  <c r="AO3" i="1"/>
  <c r="AN3" i="1"/>
  <c r="AM3" i="1"/>
  <c r="AL3" i="1"/>
  <c r="AH3" i="1"/>
  <c r="AG3" i="1"/>
  <c r="AF3" i="1"/>
  <c r="AE3" i="1"/>
  <c r="AA3" i="1"/>
  <c r="Z3" i="1"/>
  <c r="Y3" i="1"/>
  <c r="X3" i="1"/>
  <c r="T3" i="1"/>
  <c r="S3" i="1"/>
  <c r="R3" i="1"/>
  <c r="Q3" i="1"/>
  <c r="AO2" i="1"/>
  <c r="AN2" i="1"/>
  <c r="AM2" i="1"/>
  <c r="AL2" i="1"/>
  <c r="AH2" i="1"/>
  <c r="AG2" i="1"/>
  <c r="AF2" i="1"/>
  <c r="AE2" i="1"/>
  <c r="AA2" i="1"/>
  <c r="Z2" i="1"/>
  <c r="Y2" i="1"/>
  <c r="X2" i="1"/>
  <c r="T2" i="1"/>
  <c r="S2" i="1"/>
  <c r="R2" i="1"/>
  <c r="Q2" i="1"/>
  <c r="J8" i="1"/>
  <c r="I8" i="1"/>
  <c r="H8" i="1"/>
  <c r="G8" i="1"/>
  <c r="J7" i="1"/>
  <c r="I7" i="1"/>
  <c r="H7" i="1"/>
  <c r="G7" i="1"/>
  <c r="J6" i="1"/>
  <c r="I6" i="1"/>
  <c r="H6" i="1"/>
  <c r="G6" i="1"/>
  <c r="J5" i="1"/>
  <c r="I5" i="1"/>
  <c r="H5" i="1"/>
  <c r="G5" i="1"/>
  <c r="J4" i="1"/>
  <c r="I4" i="1"/>
  <c r="H4" i="1"/>
  <c r="G4" i="1"/>
  <c r="H3" i="1" l="1"/>
  <c r="G3" i="1"/>
  <c r="I3" i="1"/>
  <c r="G2" i="1"/>
  <c r="J3" i="1"/>
  <c r="H2" i="1"/>
  <c r="I2" i="1"/>
  <c r="J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tc={DB58CDB7-613B-4BEC-9DB2-2D144C16B111}</author>
  </authors>
  <commentList>
    <comment ref="D1" authorId="0" shapeId="0" xr:uid="{DB58CDB7-613B-4BEC-9DB2-2D144C16B11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tc={26D00B4E-407F-4C5D-BDFE-4453623B169A}</author>
  </authors>
  <commentList>
    <comment ref="D1" authorId="0" shapeId="0" xr:uid="{26D00B4E-407F-4C5D-BDFE-4453623B1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<sst xmlns="http://schemas.openxmlformats.org/spreadsheetml/2006/main" count="676" uniqueCount="146">
  <si>
    <t>ID</t>
  </si>
  <si>
    <t>Link</t>
  </si>
  <si>
    <t>Protein</t>
  </si>
  <si>
    <t>Carbs</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</si>
  <si>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</si>
  <si>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</si>
  <si>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</si>
  <si>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</si>
  <si>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</si>
  <si>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</si>
  <si>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</si>
  <si>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</si>
  <si>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</si>
  <si>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</si>
  <si>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</si>
  <si>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</si>
  <si>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</si>
  <si>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</si>
  <si>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</si>
  <si>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</si>
  <si>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</si>
  <si>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</si>
  <si>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</si>
  <si>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</si>
  <si>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</si>
  <si>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</si>
  <si>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</si>
  <si>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</si>
  <si>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</si>
  <si>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</si>
  <si>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</si>
  <si>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</si>
  <si>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</si>
  <si>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</si>
  <si>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</si>
  <si>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</si>
  <si>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</si>
  <si>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</si>
  <si>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</si>
  <si>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</si>
  <si>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</si>
  <si>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</si>
  <si>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</si>
  <si>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</si>
  <si>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</si>
  <si>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</si>
  <si>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</si>
  <si>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</si>
  <si>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</si>
  <si>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</si>
  <si>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</si>
  <si>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</si>
  <si>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</si>
  <si>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</si>
  <si>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</si>
  <si>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</si>
  <si>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</si>
  <si>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</si>
  <si>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</si>
  <si>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</si>
  <si>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</si>
  <si>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</si>
  <si>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</si>
  <si>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</si>
  <si>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</si>
  <si>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</si>
  <si>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</si>
  <si>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</si>
  <si>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</si>
  <si>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</si>
  <si>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</si>
  <si>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</si>
  <si>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</si>
  <si>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</si>
  <si>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</si>
  <si>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</si>
  <si>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</si>
  <si>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</si>
  <si>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</si>
  <si>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</si>
  <si>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</si>
  <si>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</si>
  <si>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</si>
  <si>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</si>
  <si>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</si>
  <si>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</si>
  <si>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</si>
  <si>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Serving Size Value</t>
  </si>
  <si>
    <t>Serving Size Unit</t>
  </si>
  <si>
    <t>-30g Protein Pulver #Test
-7g Kakaopulver
-4g Backpulver
-60ml Milch</t>
  </si>
  <si>
    <t>Protein Pulver</t>
  </si>
  <si>
    <t>g</t>
  </si>
  <si>
    <t>Kakaopulver</t>
  </si>
  <si>
    <t>Backpulver</t>
  </si>
  <si>
    <t>Milch</t>
  </si>
  <si>
    <t>ml</t>
  </si>
  <si>
    <t>Mehl</t>
  </si>
  <si>
    <t>Kokosmehl</t>
  </si>
  <si>
    <t>Stevia</t>
  </si>
  <si>
    <t>Ingredients Teig:
-80g Mehl
-20g Kokosmehl
-20g Stevia
-45g Vanille Protein Pulver
-20g Zitronen Zesten # 3 Zitronen
-40ml Limettensaft #eine limetter
-200g nonfat cottage cheese
-128g Ei # 2 Eier
-4g Vanille Extrakt
-3g Natron
-7g Backpulver</t>
  </si>
  <si>
    <t>Vanille Protein Pulver</t>
  </si>
  <si>
    <t>Zitronen Zesten</t>
  </si>
  <si>
    <t>Limettensaft</t>
  </si>
  <si>
    <t>nonfat cottage cheese</t>
  </si>
  <si>
    <t>Ei</t>
  </si>
  <si>
    <t>Vanille Extrakt</t>
  </si>
  <si>
    <t>Natron</t>
  </si>
  <si>
    <t>Eiweiß 90 Shake, Vanille</t>
  </si>
  <si>
    <t>Nährwerte für  100 g</t>
  </si>
  <si>
    <t>https://fddb.info/db/de/lebensmittel/dm_sportness_eiweiss_90_shake_vanille/index.html</t>
  </si>
  <si>
    <t>Kakao, Pulver</t>
  </si>
  <si>
    <t>https://fddb.info/db/de/lebensmittel/bensdorp_kakao_pulver/index.html</t>
  </si>
  <si>
    <t>https://fddb.info/db/de/lebensmittel/durchschnittswert_backpulver/index.html</t>
  </si>
  <si>
    <t>Milch, 1,5% Fett</t>
  </si>
  <si>
    <t>Nährwerte für  100 ml</t>
  </si>
  <si>
    <t>https://fddb.info/db/de/lebensmittel/molkerei_milch_1_5prozent_fett/index.html</t>
  </si>
  <si>
    <t>Mehl, Weizenmehl Typ 405</t>
  </si>
  <si>
    <t>https://fddb.info/db/de/lebensmittel/durchschnittswert_mehl_weizenmehl_typ_405/index.html</t>
  </si>
  <si>
    <t>https://fddb.info/db/de/lebensmittel/dmbio_kokosmehl_736452/index.html</t>
  </si>
  <si>
    <t>https://fddb.info/db/de/lebensmittel/durchschnittswert_stevia/index.html</t>
  </si>
  <si>
    <t>Zitronensaft, pur</t>
  </si>
  <si>
    <t>https://fddb.info/db/de/lebensmittel/naturprodukt_zitronensaft_pur_436/index.html</t>
  </si>
  <si>
    <t>https://fddb.info/db/de/lebensmittel/durchschnittswert_limettensaft/index.html</t>
  </si>
  <si>
    <t>Non fat Cappuccino</t>
  </si>
  <si>
    <t>https://fddb.info/db/de/lebensmittel/starbucks_non_fat_cappuccino/index.html</t>
  </si>
  <si>
    <t>Ei, vom Huhn</t>
  </si>
  <si>
    <t>https://fddb.info/db/de/lebensmittel/naturprodukt_ei_vom_huhn/index.html</t>
  </si>
  <si>
    <t>flüssiger Bourbon Vanille Extrakt, gezuckert</t>
  </si>
  <si>
    <t>https://fddb.info/db/de/lebensmittel/dr_oetker_fluessiger_bourbon_vanille_extrakt_gezuckert/index.html</t>
  </si>
  <si>
    <t>https://fddb.info/db/de/lebensmittel/durchschnittswert_natron/index.html</t>
  </si>
  <si>
    <t>FoundName</t>
  </si>
  <si>
    <t>Calories</t>
  </si>
  <si>
    <t>Fat</t>
  </si>
  <si>
    <t>relation</t>
  </si>
  <si>
    <t>product link</t>
  </si>
  <si>
    <t>Title</t>
  </si>
  <si>
    <t>Ingredients</t>
  </si>
  <si>
    <t>Preparation</t>
  </si>
  <si>
    <t>Unit</t>
  </si>
  <si>
    <t>Tested</t>
  </si>
  <si>
    <t>Rating (1 to 10)</t>
  </si>
  <si>
    <t>Comment</t>
  </si>
  <si>
    <t>Ingredient</t>
  </si>
  <si>
    <t>Amount</t>
  </si>
  <si>
    <t>SingleIngredients</t>
  </si>
  <si>
    <t>relation numerisch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</si>
</sst>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xf numFmtId="1" fontId="0" fillId="0" borderId="0" xfId="0" applyNumberForma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3-02-13T21:28:04.42" personId="{3D835940-3DFF-4850-AAFF-AE8ACAFB46BD}" id="{DB58CDB7-613B-4BEC-9DB2-2D144C16B111}">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threadedComments/threadedComment3.xml><?xml version="1.0" encoding="utf-8"?>
<ThreadedComments xmlns="http://schemas.microsoft.com/office/spreadsheetml/2018/threadedcomments" xmlns:x="http://schemas.openxmlformats.org/spreadsheetml/2006/main">
  <threadedComment ref="D1" dT="2023-02-13T21:28:04.42" personId="{3D835940-3DFF-4850-AAFF-AE8ACAFB46BD}" id="{26D00B4E-407F-4C5D-BDFE-4453623B169A}">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13" Type="http://schemas.openxmlformats.org/officeDocument/2006/relationships/comments" Target="../comments2.xm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12" Type="http://schemas.openxmlformats.org/officeDocument/2006/relationships/vmlDrawing" Target="../drawings/vmlDrawing2.vm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 Id="rId1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s://de.myprotein.com/thezone/rezepte/crispy-tofu-teriyaki-nudeln-meal-prep/" TargetMode="External"/><Relationship Id="rId7" Type="http://schemas.openxmlformats.org/officeDocument/2006/relationships/comments" Target="../comments3.xm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6" Type="http://schemas.openxmlformats.org/officeDocument/2006/relationships/vmlDrawing" Target="../drawings/vmlDrawing3.vm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Y8"/>
  <sheetViews>
    <sheetView tabSelected="1" workbookViewId="0">
      <pane ySplit="1" topLeftCell="A3" activePane="bottomLeft" state="frozen"/>
      <selection pane="bottomLeft" activeCell="D3" sqref="D3"/>
    </sheetView>
  </sheetViews>
  <sheetFormatPr baseColWidth="10" defaultColWidth="8.88671875" defaultRowHeight="14.4" outlineLevelCol="1" x14ac:dyDescent="0.3"/>
  <cols>
    <col min="2" max="2" width="20.6640625" customWidth="1"/>
    <col min="4" max="4" width="39.33203125" customWidth="1"/>
    <col min="5" max="5" width="42.88671875" style="1" customWidth="1"/>
    <col min="6" max="6" width="20.88671875" style="1" customWidth="1"/>
    <col min="7" max="7" width="13.6640625" style="7" customWidth="1"/>
    <col min="8" max="8" width="8.88671875" style="7"/>
    <col min="9" max="9" width="10.6640625" style="7" bestFit="1" customWidth="1"/>
    <col min="10" max="10" width="12.77734375" style="7" bestFit="1" customWidth="1"/>
    <col min="13" max="13" width="35.6640625" style="1" customWidth="1"/>
    <col min="14" max="14" width="5.21875" customWidth="1" outlineLevel="1"/>
    <col min="15" max="16" width="6.5546875" customWidth="1" outlineLevel="1"/>
    <col min="17" max="17" width="7.6640625" customWidth="1" outlineLevel="1"/>
    <col min="18" max="18" width="7.33203125" customWidth="1" outlineLevel="1"/>
    <col min="19" max="19" width="5.109375" customWidth="1" outlineLevel="1"/>
    <col min="20" max="20" width="12.77734375" customWidth="1" outlineLevel="1"/>
    <col min="21" max="104" width="8.88671875" customWidth="1" outlineLevel="1"/>
    <col min="105" max="105" width="8.88671875" customWidth="1" outlineLevel="1" collapsed="1"/>
    <col min="106" max="154" width="8.88671875" customWidth="1" outlineLevel="1"/>
  </cols>
  <sheetData>
    <row r="1" spans="1:155" x14ac:dyDescent="0.3">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c r="EY1" t="s">
        <v>144</v>
      </c>
    </row>
    <row r="2" spans="1:155" ht="57.6" x14ac:dyDescent="0.3">
      <c r="A2">
        <v>1</v>
      </c>
      <c r="B2" t="s">
        <v>4</v>
      </c>
      <c r="C2" s="4" t="s">
        <v>5</v>
      </c>
      <c r="D2" s="2" t="s">
        <v>89</v>
      </c>
      <c r="E2" s="1" t="s">
        <v>6</v>
      </c>
      <c r="F2" s="1" t="s">
        <v>7</v>
      </c>
      <c r="G2" s="7">
        <f>SUM(Q2, X2, AE2, AL2, AS2, AZ2, BG2, BN2, BU2, CB2, CI2, CP2, CW2, DD2, DK2, DR2, DY2, EF2, EM2, ET2, FA2, FH2, FO2, FV2, GC2, GJ2, GQ2, GX2, HE2, HL2)</f>
        <v>169.42</v>
      </c>
      <c r="H2" s="7">
        <f>SUM(R2, Y2, AF2, AM2, AT2, BA2, BH2, BO2, BV2, CC2, CJ2, CQ2, CX2, DE2, DL2, DS2, DZ2, EG2, EN2, EU2, FB2, FI2, FP2, FW2, GD2, GK2, GR2, GY2, HF2, HM2)</f>
        <v>29.184000000000001</v>
      </c>
      <c r="I2" s="7">
        <f>SUM(S2, Z2, AG2, AN2, AU2, BB2, BI2, BP2, BW2, CD2, CK2, CR2, CY2, DF2, DM2, DT2, EA2, EH2, EO2, EV2, FC2, FJ2, FQ2, FX2, GE2, GL2, GS2, GZ2, HG2, HN2)</f>
        <v>2.82</v>
      </c>
      <c r="J2" s="7">
        <f>SUM(T2, AA2, AH2, AO2, AV2, BC2, BJ2, BQ2, BX2, CE2, CL2, CS2, CZ2, DG2, DN2, DU2, EB2, EI2, EP2, EW2, FD2, FK2, FR2, FY2, GF2, GM2, GT2, HA2, HH2, HO2)</f>
        <v>5.7629999999999999</v>
      </c>
      <c r="K2" t="s">
        <v>8</v>
      </c>
      <c r="L2">
        <v>4</v>
      </c>
      <c r="M2" s="1" t="s">
        <v>9</v>
      </c>
      <c r="N2" t="s">
        <v>90</v>
      </c>
      <c r="O2">
        <v>30</v>
      </c>
      <c r="P2" t="s">
        <v>91</v>
      </c>
      <c r="Q2">
        <f>O2* VLOOKUP(N2,Ingredients!$A:$J,5,FALSE) / VLOOKUP(N2,Ingredients!$A:$J,10,FALSE)</f>
        <v>112.2</v>
      </c>
      <c r="R2">
        <f>O2* VLOOKUP(N2,Ingredients!$A:$J,6,FALSE) / VLOOKUP(N2,Ingredients!$A:$J,10,FALSE)</f>
        <v>25.8</v>
      </c>
      <c r="S2">
        <f>O2* VLOOKUP(N2,Ingredients!$A:$J,7,FALSE) / VLOOKUP(N2,Ingredients!$A:$J,10,FALSE)</f>
        <v>0.45</v>
      </c>
      <c r="T2">
        <f>O2* VLOOKUP(N2,Ingredients!$A:$J,8,FALSE) / VLOOKUP(N2,Ingredients!$A:$J,10,FALSE)</f>
        <v>1.2</v>
      </c>
      <c r="U2" t="s">
        <v>92</v>
      </c>
      <c r="V2">
        <v>7</v>
      </c>
      <c r="W2" t="s">
        <v>91</v>
      </c>
      <c r="X2">
        <f>V2* VLOOKUP(U2,Ingredients!$A:$J,5,FALSE) / VLOOKUP(U2,Ingredients!$A:$J,10,FALSE)</f>
        <v>25.62</v>
      </c>
      <c r="Y2">
        <f>V2* VLOOKUP(U2,Ingredients!$A:$J,6,FALSE) / VLOOKUP(U2,Ingredients!$A:$J,10,FALSE)</f>
        <v>1.4</v>
      </c>
      <c r="Z2">
        <f>V2* VLOOKUP(U2,Ingredients!$A:$J,7,FALSE) / VLOOKUP(U2,Ingredients!$A:$J,10,FALSE)</f>
        <v>1.47</v>
      </c>
      <c r="AA2">
        <f>V2* VLOOKUP(U2,Ingredients!$A:$J,8,FALSE) / VLOOKUP(U2,Ingredients!$A:$J,10,FALSE)</f>
        <v>0.623</v>
      </c>
      <c r="AB2" t="s">
        <v>93</v>
      </c>
      <c r="AC2">
        <v>4</v>
      </c>
      <c r="AD2" t="s">
        <v>91</v>
      </c>
      <c r="AE2">
        <f>AC2* VLOOKUP(AB2,Ingredients!$A:$J,5,FALSE) / VLOOKUP(AB2,Ingredients!$A:$J,10,FALSE)</f>
        <v>4</v>
      </c>
      <c r="AF2">
        <f>AC2* VLOOKUP(AB2,Ingredients!$A:$J,6,FALSE) / VLOOKUP(AB2,Ingredients!$A:$J,10,FALSE)</f>
        <v>4.0000000000000001E-3</v>
      </c>
      <c r="AG2">
        <f>AC2* VLOOKUP(AB2,Ingredients!$A:$J,7,FALSE) / VLOOKUP(AB2,Ingredients!$A:$J,10,FALSE)</f>
        <v>0</v>
      </c>
      <c r="AH2">
        <f>AC2* VLOOKUP(AB2,Ingredients!$A:$J,8,FALSE) / VLOOKUP(AB2,Ingredients!$A:$J,10,FALSE)</f>
        <v>1</v>
      </c>
      <c r="AI2" t="s">
        <v>94</v>
      </c>
      <c r="AJ2">
        <v>60</v>
      </c>
      <c r="AK2" t="s">
        <v>95</v>
      </c>
      <c r="AL2">
        <f>AJ2* VLOOKUP(AI2,Ingredients!$A:$J,5,FALSE) / VLOOKUP(AI2,Ingredients!$A:$J,10,FALSE)</f>
        <v>27.6</v>
      </c>
      <c r="AM2">
        <f>AJ2* VLOOKUP(AI2,Ingredients!$A:$J,6,FALSE) / VLOOKUP(AI2,Ingredients!$A:$J,10,FALSE)</f>
        <v>1.98</v>
      </c>
      <c r="AN2">
        <f>AJ2* VLOOKUP(AI2,Ingredients!$A:$J,7,FALSE) / VLOOKUP(AI2,Ingredients!$A:$J,10,FALSE)</f>
        <v>0.9</v>
      </c>
      <c r="AO2">
        <f>AJ2* VLOOKUP(AI2,Ingredients!$A:$J,8,FALSE) / VLOOKUP(AI2,Ingredients!$A:$J,10,FALSE)</f>
        <v>2.94</v>
      </c>
    </row>
    <row r="3" spans="1:155" ht="295.2" customHeight="1" x14ac:dyDescent="0.3">
      <c r="A3">
        <v>2</v>
      </c>
      <c r="B3" t="s">
        <v>10</v>
      </c>
      <c r="C3" s="4" t="s">
        <v>11</v>
      </c>
      <c r="D3" s="1" t="s">
        <v>99</v>
      </c>
      <c r="E3" s="1" t="s">
        <v>12</v>
      </c>
      <c r="G3" s="7">
        <f t="shared" ref="G3:G8" si="0">SUM(Q3, X3, AE3, AL3, AS3, AZ3, BG3, BN3, BU3, CB3, CI3, CP3, CW3, DD3, DK3, DR3, DY3, EF3, EM3, ET3, FA3, FH3, FO3, FV3, GC3, GJ3, GQ3, GX3, HE3, HL3)</f>
        <v>769.10000000000014</v>
      </c>
      <c r="H3" s="7">
        <f t="shared" ref="H3:H8" si="1">SUM(R3, Y3, AF3, AM3, AT3, BA3, BH3, BO3, BV3, CC3, CJ3, CQ3, CX3, DE3, DL3, DS3, DZ3, EG3, EN3, EU3, FB3, FI3, FP3, FW3, GD3, GK3, GR3, GY3, HF3, HM3)</f>
        <v>70.179000000000002</v>
      </c>
      <c r="I3" s="7">
        <f t="shared" ref="I3:I8" si="2">SUM(S3, Z3, AG3, AN3, AU3, BB3, BI3, BP3, BW3, CD3, CK3, CR3, CY3, DF3, DM3, DT3, EA3, EH3, EO3, EV3, FC3, FJ3, FQ3, FX3, GE3, GL3, GS3, GZ3, HG3, HN3)</f>
        <v>17.679000000000002</v>
      </c>
      <c r="J3" s="7">
        <f t="shared" ref="J3:J8" si="3">SUM(T3, AA3, AH3, AO3, AV3, BC3, BJ3, BQ3, BX3, CE3, CL3, CS3, CZ3, DG3, DN3, DU3, EB3, EI3, EP3, EW3, FD3, FK3, FR3, FY3, GF3, GM3, GT3, HA3, HH3, HO3)</f>
        <v>82.490000000000009</v>
      </c>
      <c r="K3" t="s">
        <v>8</v>
      </c>
      <c r="L3">
        <v>8</v>
      </c>
      <c r="M3" s="1" t="s">
        <v>13</v>
      </c>
      <c r="N3" t="s">
        <v>96</v>
      </c>
      <c r="O3">
        <v>80</v>
      </c>
      <c r="P3" t="s">
        <v>91</v>
      </c>
      <c r="Q3">
        <f>O3* VLOOKUP(N3,Ingredients!$A:$J,5,FALSE) / VLOOKUP(N3,Ingredients!$A:$J,10,FALSE)</f>
        <v>278.39999999999998</v>
      </c>
      <c r="R3">
        <f>O3* VLOOKUP(N3,Ingredients!$A:$J,6,FALSE) / VLOOKUP(N3,Ingredients!$A:$J,10,FALSE)</f>
        <v>8</v>
      </c>
      <c r="S3">
        <f>O3* VLOOKUP(N3,Ingredients!$A:$J,7,FALSE) / VLOOKUP(N3,Ingredients!$A:$J,10,FALSE)</f>
        <v>0.8</v>
      </c>
      <c r="T3">
        <f>O3* VLOOKUP(N3,Ingredients!$A:$J,8,FALSE) / VLOOKUP(N3,Ingredients!$A:$J,10,FALSE)</f>
        <v>57.84</v>
      </c>
      <c r="U3" t="s">
        <v>97</v>
      </c>
      <c r="V3">
        <v>20</v>
      </c>
      <c r="W3" t="s">
        <v>91</v>
      </c>
      <c r="X3">
        <f>V3* VLOOKUP(U3,Ingredients!$A:$J,5,FALSE) / VLOOKUP(U3,Ingredients!$A:$J,10,FALSE)</f>
        <v>72.2</v>
      </c>
      <c r="Y3">
        <f>V3* VLOOKUP(U3,Ingredients!$A:$J,6,FALSE) / VLOOKUP(U3,Ingredients!$A:$J,10,FALSE)</f>
        <v>4</v>
      </c>
      <c r="Z3">
        <f>V3* VLOOKUP(U3,Ingredients!$A:$J,7,FALSE) / VLOOKUP(U3,Ingredients!$A:$J,10,FALSE)</f>
        <v>3</v>
      </c>
      <c r="AA3">
        <f>V3* VLOOKUP(U3,Ingredients!$A:$J,8,FALSE) / VLOOKUP(U3,Ingredients!$A:$J,10,FALSE)</f>
        <v>4</v>
      </c>
      <c r="AB3" t="s">
        <v>98</v>
      </c>
      <c r="AC3">
        <v>20</v>
      </c>
      <c r="AD3" t="s">
        <v>91</v>
      </c>
      <c r="AE3">
        <f>AC3* VLOOKUP(AB3,Ingredients!$A:$J,5,FALSE) / VLOOKUP(AB3,Ingredients!$A:$J,10,FALSE)</f>
        <v>0</v>
      </c>
      <c r="AF3">
        <f>AC3* VLOOKUP(AB3,Ingredients!$A:$J,6,FALSE) / VLOOKUP(AB3,Ingredients!$A:$J,10,FALSE)</f>
        <v>0</v>
      </c>
      <c r="AG3">
        <f>AC3* VLOOKUP(AB3,Ingredients!$A:$J,7,FALSE) / VLOOKUP(AB3,Ingredients!$A:$J,10,FALSE)</f>
        <v>0</v>
      </c>
      <c r="AH3">
        <f>AC3* VLOOKUP(AB3,Ingredients!$A:$J,8,FALSE) / VLOOKUP(AB3,Ingredients!$A:$J,10,FALSE)</f>
        <v>0</v>
      </c>
      <c r="AI3" t="s">
        <v>100</v>
      </c>
      <c r="AJ3">
        <v>45</v>
      </c>
      <c r="AK3" t="s">
        <v>91</v>
      </c>
      <c r="AL3">
        <f>AJ3* VLOOKUP(AI3,Ingredients!$A:$J,5,FALSE) / VLOOKUP(AI3,Ingredients!$A:$J,10,FALSE)</f>
        <v>168.3</v>
      </c>
      <c r="AM3">
        <f>AJ3* VLOOKUP(AI3,Ingredients!$A:$J,6,FALSE) / VLOOKUP(AI3,Ingredients!$A:$J,10,FALSE)</f>
        <v>38.700000000000003</v>
      </c>
      <c r="AN3">
        <f>AJ3* VLOOKUP(AI3,Ingredients!$A:$J,7,FALSE) / VLOOKUP(AI3,Ingredients!$A:$J,10,FALSE)</f>
        <v>0.67500000000000004</v>
      </c>
      <c r="AO3">
        <f>AJ3* VLOOKUP(AI3,Ingredients!$A:$J,8,FALSE) / VLOOKUP(AI3,Ingredients!$A:$J,10,FALSE)</f>
        <v>1.8</v>
      </c>
      <c r="AP3" t="s">
        <v>101</v>
      </c>
      <c r="AQ3">
        <v>20</v>
      </c>
      <c r="AR3" t="s">
        <v>91</v>
      </c>
      <c r="AS3">
        <f>AQ3* VLOOKUP(AP3,Ingredients!$A:$J,5,FALSE) / VLOOKUP(AP3,Ingredients!$A:$J,10,FALSE)</f>
        <v>5.2</v>
      </c>
      <c r="AT3">
        <f>AQ3* VLOOKUP(AP3,Ingredients!$A:$J,6,FALSE) / VLOOKUP(AP3,Ingredients!$A:$J,10,FALSE)</f>
        <v>0.08</v>
      </c>
      <c r="AU3">
        <f>AQ3* VLOOKUP(AP3,Ingredients!$A:$J,7,FALSE) / VLOOKUP(AP3,Ingredients!$A:$J,10,FALSE)</f>
        <v>0.02</v>
      </c>
      <c r="AV3">
        <f>AQ3* VLOOKUP(AP3,Ingredients!$A:$J,8,FALSE) / VLOOKUP(AP3,Ingredients!$A:$J,10,FALSE)</f>
        <v>0.34</v>
      </c>
      <c r="AW3" t="s">
        <v>102</v>
      </c>
      <c r="AX3">
        <v>40</v>
      </c>
      <c r="AY3" t="s">
        <v>95</v>
      </c>
      <c r="AZ3">
        <f>AX3* VLOOKUP(AW3,Ingredients!$A:$J,5,FALSE) / VLOOKUP(AW3,Ingredients!$A:$J,10,FALSE)</f>
        <v>9.1999999999999993</v>
      </c>
      <c r="BA3">
        <f>AX3* VLOOKUP(AW3,Ingredients!$A:$J,6,FALSE) / VLOOKUP(AW3,Ingredients!$A:$J,10,FALSE)</f>
        <v>0.16</v>
      </c>
      <c r="BB3">
        <f>AX3* VLOOKUP(AW3,Ingredients!$A:$J,7,FALSE) / VLOOKUP(AW3,Ingredients!$A:$J,10,FALSE)</f>
        <v>0.68</v>
      </c>
      <c r="BC3">
        <f>AX3* VLOOKUP(AW3,Ingredients!$A:$J,8,FALSE) / VLOOKUP(AW3,Ingredients!$A:$J,10,FALSE)</f>
        <v>6.12</v>
      </c>
      <c r="BD3" t="s">
        <v>103</v>
      </c>
      <c r="BE3">
        <v>200</v>
      </c>
      <c r="BF3" t="s">
        <v>91</v>
      </c>
      <c r="BG3">
        <f>BE3* VLOOKUP(BD3,Ingredients!$A:$J,5,FALSE) / VLOOKUP(BD3,Ingredients!$A:$J,10,FALSE)</f>
        <v>42</v>
      </c>
      <c r="BH3">
        <f>BE3* VLOOKUP(BD3,Ingredients!$A:$J,6,FALSE) / VLOOKUP(BD3,Ingredients!$A:$J,10,FALSE)</f>
        <v>4</v>
      </c>
      <c r="BI3">
        <f>BE3* VLOOKUP(BD3,Ingredients!$A:$J,7,FALSE) / VLOOKUP(BD3,Ingredients!$A:$J,10,FALSE)</f>
        <v>0.6</v>
      </c>
      <c r="BJ3">
        <f>BE3* VLOOKUP(BD3,Ingredients!$A:$J,8,FALSE) / VLOOKUP(BD3,Ingredients!$A:$J,10,FALSE)</f>
        <v>6</v>
      </c>
      <c r="BK3" t="s">
        <v>104</v>
      </c>
      <c r="BL3">
        <v>128</v>
      </c>
      <c r="BM3" t="s">
        <v>91</v>
      </c>
      <c r="BN3">
        <f>BL3* VLOOKUP(BK3,Ingredients!$A:$J,5,FALSE) / VLOOKUP(BK3,Ingredients!$A:$J,10,FALSE)</f>
        <v>175.36</v>
      </c>
      <c r="BO3">
        <f>BL3* VLOOKUP(BK3,Ingredients!$A:$J,6,FALSE) / VLOOKUP(BK3,Ingredients!$A:$J,10,FALSE)</f>
        <v>15.232000000000001</v>
      </c>
      <c r="BP3">
        <f>BL3* VLOOKUP(BK3,Ingredients!$A:$J,7,FALSE) / VLOOKUP(BK3,Ingredients!$A:$J,10,FALSE)</f>
        <v>11.904000000000002</v>
      </c>
      <c r="BQ3">
        <f>BL3* VLOOKUP(BK3,Ingredients!$A:$J,8,FALSE) / VLOOKUP(BK3,Ingredients!$A:$J,10,FALSE)</f>
        <v>1.92</v>
      </c>
      <c r="BR3" t="s">
        <v>105</v>
      </c>
      <c r="BS3">
        <v>4</v>
      </c>
      <c r="BT3" t="s">
        <v>91</v>
      </c>
      <c r="BU3">
        <f>BS3* VLOOKUP(BR3,Ingredients!$A:$J,5,FALSE) / VLOOKUP(BR3,Ingredients!$A:$J,10,FALSE)</f>
        <v>11.44</v>
      </c>
      <c r="BV3">
        <f>BS3* VLOOKUP(BR3,Ingredients!$A:$J,6,FALSE) / VLOOKUP(BR3,Ingredients!$A:$J,10,FALSE)</f>
        <v>0</v>
      </c>
      <c r="BW3">
        <f>BS3* VLOOKUP(BR3,Ingredients!$A:$J,7,FALSE) / VLOOKUP(BR3,Ingredients!$A:$J,10,FALSE)</f>
        <v>0</v>
      </c>
      <c r="BX3">
        <f>BS3* VLOOKUP(BR3,Ingredients!$A:$J,8,FALSE) / VLOOKUP(BR3,Ingredients!$A:$J,10,FALSE)</f>
        <v>2.72</v>
      </c>
      <c r="BY3" t="s">
        <v>106</v>
      </c>
      <c r="BZ3">
        <v>3</v>
      </c>
      <c r="CA3" t="s">
        <v>91</v>
      </c>
      <c r="CB3">
        <f>BZ3* VLOOKUP(BY3,Ingredients!$A:$J,5,FALSE) / VLOOKUP(BY3,Ingredients!$A:$J,10,FALSE)</f>
        <v>0</v>
      </c>
      <c r="CC3">
        <f>BZ3* VLOOKUP(BY3,Ingredients!$A:$J,6,FALSE) / VLOOKUP(BY3,Ingredients!$A:$J,10,FALSE)</f>
        <v>0</v>
      </c>
      <c r="CD3">
        <f>BZ3* VLOOKUP(BY3,Ingredients!$A:$J,7,FALSE) / VLOOKUP(BY3,Ingredients!$A:$J,10,FALSE)</f>
        <v>0</v>
      </c>
      <c r="CE3">
        <f>BZ3* VLOOKUP(BY3,Ingredients!$A:$J,8,FALSE) / VLOOKUP(BY3,Ingredients!$A:$J,10,FALSE)</f>
        <v>0</v>
      </c>
      <c r="CF3" t="s">
        <v>93</v>
      </c>
      <c r="CG3">
        <v>7</v>
      </c>
      <c r="CH3" t="s">
        <v>91</v>
      </c>
      <c r="CI3">
        <f>CG3* VLOOKUP(CF3,Ingredients!$A:$J,5,FALSE) / VLOOKUP(CF3,Ingredients!$A:$J,10,FALSE)</f>
        <v>7</v>
      </c>
      <c r="CJ3">
        <f>CG3* VLOOKUP(CF3,Ingredients!$A:$J,6,FALSE) / VLOOKUP(CF3,Ingredients!$A:$J,10,FALSE)</f>
        <v>7.000000000000001E-3</v>
      </c>
      <c r="CK3">
        <f>CG3* VLOOKUP(CF3,Ingredients!$A:$J,7,FALSE) / VLOOKUP(CF3,Ingredients!$A:$J,10,FALSE)</f>
        <v>0</v>
      </c>
      <c r="CL3">
        <f>CG3* VLOOKUP(CF3,Ingredients!$A:$J,8,FALSE) / VLOOKUP(CF3,Ingredients!$A:$J,10,FALSE)</f>
        <v>1.75</v>
      </c>
    </row>
    <row r="4" spans="1:155" ht="72" x14ac:dyDescent="0.3">
      <c r="A4">
        <v>3</v>
      </c>
      <c r="B4" t="s">
        <v>14</v>
      </c>
      <c r="C4" s="4" t="s">
        <v>15</v>
      </c>
      <c r="D4" s="2" t="s">
        <v>16</v>
      </c>
      <c r="E4" s="2" t="s">
        <v>17</v>
      </c>
      <c r="F4" s="2"/>
      <c r="G4" s="7">
        <f t="shared" si="0"/>
        <v>0</v>
      </c>
      <c r="H4" s="7">
        <f t="shared" si="1"/>
        <v>0</v>
      </c>
      <c r="I4" s="7">
        <f t="shared" si="2"/>
        <v>0</v>
      </c>
      <c r="J4" s="7">
        <f t="shared" si="3"/>
        <v>0</v>
      </c>
      <c r="L4">
        <v>8</v>
      </c>
      <c r="M4" s="1" t="s">
        <v>18</v>
      </c>
    </row>
    <row r="5" spans="1:155" ht="230.4" x14ac:dyDescent="0.3">
      <c r="A5">
        <v>4</v>
      </c>
      <c r="B5" t="s">
        <v>19</v>
      </c>
      <c r="C5" s="4" t="s">
        <v>20</v>
      </c>
      <c r="D5" s="2" t="s">
        <v>21</v>
      </c>
      <c r="E5" s="1" t="s">
        <v>22</v>
      </c>
      <c r="F5" s="1" t="s">
        <v>7</v>
      </c>
      <c r="G5" s="7">
        <f t="shared" si="0"/>
        <v>0</v>
      </c>
      <c r="H5" s="7">
        <f t="shared" si="1"/>
        <v>0</v>
      </c>
      <c r="I5" s="7">
        <f t="shared" si="2"/>
        <v>0</v>
      </c>
      <c r="J5" s="7">
        <f t="shared" si="3"/>
        <v>0</v>
      </c>
    </row>
    <row r="6" spans="1:155" ht="273.60000000000002" x14ac:dyDescent="0.3">
      <c r="A6">
        <v>5</v>
      </c>
      <c r="B6" t="s">
        <v>23</v>
      </c>
      <c r="C6" s="4" t="s">
        <v>24</v>
      </c>
      <c r="D6" s="2" t="s">
        <v>25</v>
      </c>
      <c r="E6" s="1" t="s">
        <v>26</v>
      </c>
      <c r="F6" s="1" t="s">
        <v>7</v>
      </c>
      <c r="G6" s="7">
        <f t="shared" si="0"/>
        <v>0</v>
      </c>
      <c r="H6" s="7">
        <f t="shared" si="1"/>
        <v>0</v>
      </c>
      <c r="I6" s="7">
        <f t="shared" si="2"/>
        <v>0</v>
      </c>
      <c r="J6" s="7">
        <f t="shared" si="3"/>
        <v>0</v>
      </c>
    </row>
    <row r="7" spans="1:155" ht="72" x14ac:dyDescent="0.3">
      <c r="A7">
        <v>6</v>
      </c>
      <c r="B7" t="s">
        <v>27</v>
      </c>
      <c r="C7" s="4" t="s">
        <v>28</v>
      </c>
      <c r="D7" s="2" t="s">
        <v>29</v>
      </c>
      <c r="E7" s="1" t="s">
        <v>30</v>
      </c>
      <c r="G7" s="7">
        <f t="shared" si="0"/>
        <v>0</v>
      </c>
      <c r="H7" s="7">
        <f t="shared" si="1"/>
        <v>0</v>
      </c>
      <c r="I7" s="7">
        <f t="shared" si="2"/>
        <v>0</v>
      </c>
      <c r="J7" s="7">
        <f t="shared" si="3"/>
        <v>0</v>
      </c>
    </row>
    <row r="8" spans="1:155" x14ac:dyDescent="0.3">
      <c r="A8">
        <v>7</v>
      </c>
      <c r="B8" t="s">
        <v>31</v>
      </c>
      <c r="C8" t="s">
        <v>32</v>
      </c>
      <c r="G8" s="7">
        <f t="shared" si="0"/>
        <v>0</v>
      </c>
      <c r="H8" s="7">
        <f t="shared" si="1"/>
        <v>0</v>
      </c>
      <c r="I8" s="7">
        <f t="shared" si="2"/>
        <v>0</v>
      </c>
      <c r="J8" s="7">
        <f t="shared" si="3"/>
        <v>0</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EW13"/>
  <sheetViews>
    <sheetView workbookViewId="0">
      <pane ySplit="1" topLeftCell="A2" activePane="bottomLeft" state="frozen"/>
      <selection pane="bottomLeft" activeCell="B14" sqref="B14"/>
    </sheetView>
  </sheetViews>
  <sheetFormatPr baseColWidth="10" defaultColWidth="10.88671875" defaultRowHeight="14.4" x14ac:dyDescent="0.3"/>
  <cols>
    <col min="2" max="2" width="25.109375" customWidth="1"/>
    <col min="4" max="4" width="51.33203125" style="6" customWidth="1"/>
    <col min="5" max="5" width="28.5546875" style="6" customWidth="1"/>
    <col min="6" max="6" width="28.5546875" customWidth="1"/>
  </cols>
  <sheetData>
    <row r="1" spans="1:153" x14ac:dyDescent="0.3">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row>
    <row r="2" spans="1:153" ht="220.95" customHeight="1" x14ac:dyDescent="0.3">
      <c r="B2" t="s">
        <v>33</v>
      </c>
      <c r="C2" s="4" t="s">
        <v>34</v>
      </c>
      <c r="D2" s="5" t="s">
        <v>35</v>
      </c>
      <c r="E2" s="5" t="s">
        <v>36</v>
      </c>
      <c r="F2" t="s">
        <v>7</v>
      </c>
      <c r="G2">
        <v>25.6</v>
      </c>
      <c r="H2">
        <v>48.7</v>
      </c>
      <c r="I2">
        <v>16.2</v>
      </c>
      <c r="J2">
        <v>431</v>
      </c>
    </row>
    <row r="3" spans="1:153" ht="144" x14ac:dyDescent="0.3">
      <c r="B3" t="s">
        <v>37</v>
      </c>
      <c r="C3" s="4" t="s">
        <v>38</v>
      </c>
      <c r="D3" s="5" t="s">
        <v>39</v>
      </c>
      <c r="E3" s="5" t="s">
        <v>40</v>
      </c>
      <c r="F3" t="s">
        <v>7</v>
      </c>
      <c r="G3">
        <v>21</v>
      </c>
      <c r="H3">
        <v>43</v>
      </c>
      <c r="I3">
        <v>17</v>
      </c>
      <c r="J3">
        <v>411</v>
      </c>
    </row>
    <row r="4" spans="1:153" ht="164.4" x14ac:dyDescent="0.3">
      <c r="B4" t="s">
        <v>41</v>
      </c>
      <c r="C4" s="4" t="s">
        <v>42</v>
      </c>
      <c r="D4" s="5" t="s">
        <v>43</v>
      </c>
      <c r="E4" s="5" t="s">
        <v>44</v>
      </c>
      <c r="F4" t="s">
        <v>7</v>
      </c>
      <c r="G4">
        <v>20</v>
      </c>
      <c r="H4">
        <v>26</v>
      </c>
      <c r="I4">
        <v>15</v>
      </c>
      <c r="J4">
        <v>325</v>
      </c>
    </row>
    <row r="5" spans="1:153" x14ac:dyDescent="0.3">
      <c r="B5" t="s">
        <v>33</v>
      </c>
      <c r="C5" s="4" t="s">
        <v>45</v>
      </c>
    </row>
    <row r="6" spans="1:153" x14ac:dyDescent="0.3">
      <c r="B6" t="s">
        <v>46</v>
      </c>
      <c r="C6" s="4" t="s">
        <v>47</v>
      </c>
    </row>
    <row r="7" spans="1:153" x14ac:dyDescent="0.3">
      <c r="B7" t="s">
        <v>48</v>
      </c>
      <c r="C7" s="4" t="s">
        <v>49</v>
      </c>
    </row>
    <row r="8" spans="1:153" x14ac:dyDescent="0.3">
      <c r="B8" t="s">
        <v>50</v>
      </c>
      <c r="C8" s="4" t="s">
        <v>51</v>
      </c>
    </row>
    <row r="9" spans="1:153" x14ac:dyDescent="0.3">
      <c r="B9" t="s">
        <v>52</v>
      </c>
      <c r="C9" s="4" t="s">
        <v>53</v>
      </c>
    </row>
    <row r="10" spans="1:153" x14ac:dyDescent="0.3">
      <c r="B10" t="s">
        <v>54</v>
      </c>
      <c r="C10" s="4" t="s">
        <v>55</v>
      </c>
    </row>
    <row r="11" spans="1:153" x14ac:dyDescent="0.3">
      <c r="B11" t="s">
        <v>56</v>
      </c>
      <c r="C11" s="4" t="s">
        <v>57</v>
      </c>
    </row>
    <row r="12" spans="1:153" x14ac:dyDescent="0.3">
      <c r="B12" t="s">
        <v>58</v>
      </c>
      <c r="C12" t="s">
        <v>59</v>
      </c>
      <c r="D12"/>
    </row>
    <row r="13" spans="1:153" x14ac:dyDescent="0.3">
      <c r="B13" t="s">
        <v>60</v>
      </c>
      <c r="C13" t="s">
        <v>61</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legacyDrawing r:id="rId1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EW13"/>
  <sheetViews>
    <sheetView workbookViewId="0">
      <pane ySplit="1" topLeftCell="A2" activePane="bottomLeft" state="frozen"/>
      <selection pane="bottomLeft"/>
    </sheetView>
  </sheetViews>
  <sheetFormatPr baseColWidth="10" defaultColWidth="10.88671875" defaultRowHeight="14.4" x14ac:dyDescent="0.3"/>
  <cols>
    <col min="2" max="2" width="18.6640625" customWidth="1"/>
    <col min="3" max="3" width="66.5546875" customWidth="1"/>
    <col min="4" max="4" width="17.77734375" customWidth="1"/>
    <col min="5" max="7" width="18.6640625" customWidth="1"/>
  </cols>
  <sheetData>
    <row r="1" spans="1:153" x14ac:dyDescent="0.3">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row>
    <row r="2" spans="1:153" x14ac:dyDescent="0.3">
      <c r="B2" t="s">
        <v>62</v>
      </c>
      <c r="C2" s="4" t="s">
        <v>63</v>
      </c>
      <c r="F2" t="s">
        <v>7</v>
      </c>
      <c r="K2" t="s">
        <v>8</v>
      </c>
      <c r="L2">
        <v>8</v>
      </c>
    </row>
    <row r="3" spans="1:153" x14ac:dyDescent="0.3">
      <c r="B3" t="s">
        <v>64</v>
      </c>
      <c r="C3" t="s">
        <v>65</v>
      </c>
      <c r="F3" t="s">
        <v>7</v>
      </c>
    </row>
    <row r="4" spans="1:153" x14ac:dyDescent="0.3">
      <c r="B4" t="s">
        <v>66</v>
      </c>
      <c r="C4" t="s">
        <v>67</v>
      </c>
      <c r="F4" t="s">
        <v>7</v>
      </c>
    </row>
    <row r="5" spans="1:153" x14ac:dyDescent="0.3">
      <c r="B5" t="s">
        <v>68</v>
      </c>
      <c r="C5" t="s">
        <v>69</v>
      </c>
      <c r="F5" t="s">
        <v>7</v>
      </c>
    </row>
    <row r="6" spans="1:153" x14ac:dyDescent="0.3">
      <c r="B6" t="s">
        <v>70</v>
      </c>
      <c r="C6" t="s">
        <v>71</v>
      </c>
      <c r="F6" t="s">
        <v>7</v>
      </c>
    </row>
    <row r="7" spans="1:153" x14ac:dyDescent="0.3">
      <c r="B7" t="s">
        <v>72</v>
      </c>
      <c r="C7" s="4" t="s">
        <v>73</v>
      </c>
      <c r="F7" t="s">
        <v>7</v>
      </c>
    </row>
    <row r="8" spans="1:153" x14ac:dyDescent="0.3">
      <c r="B8" t="s">
        <v>74</v>
      </c>
      <c r="C8" s="4" t="s">
        <v>75</v>
      </c>
      <c r="F8" t="s">
        <v>7</v>
      </c>
    </row>
    <row r="9" spans="1:153" x14ac:dyDescent="0.3">
      <c r="B9" t="s">
        <v>76</v>
      </c>
      <c r="C9" s="4" t="s">
        <v>77</v>
      </c>
      <c r="F9" t="s">
        <v>7</v>
      </c>
    </row>
    <row r="10" spans="1:153" x14ac:dyDescent="0.3">
      <c r="B10" t="s">
        <v>78</v>
      </c>
      <c r="C10" s="4" t="s">
        <v>79</v>
      </c>
      <c r="F10" t="s">
        <v>7</v>
      </c>
    </row>
    <row r="11" spans="1:153" x14ac:dyDescent="0.3">
      <c r="B11" t="s">
        <v>80</v>
      </c>
      <c r="C11" t="s">
        <v>81</v>
      </c>
      <c r="F11" t="s">
        <v>7</v>
      </c>
    </row>
    <row r="12" spans="1:153" ht="172.8" x14ac:dyDescent="0.3">
      <c r="B12" t="s">
        <v>82</v>
      </c>
      <c r="D12" s="3" t="s">
        <v>83</v>
      </c>
      <c r="F12" t="s">
        <v>7</v>
      </c>
      <c r="K12" t="s">
        <v>8</v>
      </c>
      <c r="L12">
        <v>8</v>
      </c>
    </row>
    <row r="13" spans="1:153" ht="115.2" x14ac:dyDescent="0.3">
      <c r="B13" t="s">
        <v>84</v>
      </c>
      <c r="D13" s="2" t="s">
        <v>85</v>
      </c>
      <c r="F13" t="s">
        <v>7</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K15"/>
  <sheetViews>
    <sheetView workbookViewId="0">
      <selection activeCell="B9" sqref="B9"/>
    </sheetView>
  </sheetViews>
  <sheetFormatPr baseColWidth="10" defaultColWidth="8.88671875" defaultRowHeight="14.4" x14ac:dyDescent="0.3"/>
  <cols>
    <col min="1" max="1" width="19.21875" bestFit="1" customWidth="1"/>
    <col min="2" max="2" width="37.109375" bestFit="1" customWidth="1"/>
    <col min="3" max="3" width="15.6640625" bestFit="1" customWidth="1"/>
    <col min="4" max="4" width="14.44140625" bestFit="1" customWidth="1"/>
    <col min="5" max="5" width="7.6640625" bestFit="1" customWidth="1"/>
    <col min="6" max="6" width="6.77734375" bestFit="1" customWidth="1"/>
    <col min="7" max="7" width="4.6640625" bestFit="1" customWidth="1"/>
    <col min="8" max="8" width="13.109375" bestFit="1" customWidth="1"/>
    <col min="9" max="9" width="19.21875" bestFit="1" customWidth="1"/>
    <col min="10" max="10" width="19.21875" customWidth="1"/>
    <col min="11" max="11" width="91.77734375" bestFit="1" customWidth="1"/>
  </cols>
  <sheetData>
    <row r="1" spans="1:11" x14ac:dyDescent="0.3">
      <c r="A1" t="s">
        <v>86</v>
      </c>
      <c r="B1" t="s">
        <v>130</v>
      </c>
      <c r="C1" t="s">
        <v>87</v>
      </c>
      <c r="D1" t="s">
        <v>88</v>
      </c>
      <c r="E1" t="s">
        <v>131</v>
      </c>
      <c r="F1" t="s">
        <v>2</v>
      </c>
      <c r="G1" t="s">
        <v>132</v>
      </c>
      <c r="H1" t="s">
        <v>3</v>
      </c>
      <c r="I1" t="s">
        <v>133</v>
      </c>
      <c r="J1" t="s">
        <v>145</v>
      </c>
      <c r="K1" t="s">
        <v>134</v>
      </c>
    </row>
    <row r="2" spans="1:11" x14ac:dyDescent="0.3">
      <c r="A2" t="s">
        <v>90</v>
      </c>
      <c r="B2" t="s">
        <v>107</v>
      </c>
      <c r="C2">
        <v>10</v>
      </c>
      <c r="D2" t="s">
        <v>91</v>
      </c>
      <c r="E2">
        <v>374</v>
      </c>
      <c r="F2">
        <v>86</v>
      </c>
      <c r="G2">
        <v>1.5</v>
      </c>
      <c r="H2">
        <v>4</v>
      </c>
      <c r="I2" t="s">
        <v>108</v>
      </c>
      <c r="J2">
        <v>100</v>
      </c>
      <c r="K2" t="s">
        <v>109</v>
      </c>
    </row>
    <row r="3" spans="1:11" x14ac:dyDescent="0.3">
      <c r="A3" t="s">
        <v>92</v>
      </c>
      <c r="B3" t="s">
        <v>110</v>
      </c>
      <c r="C3">
        <v>5</v>
      </c>
      <c r="D3" t="s">
        <v>91</v>
      </c>
      <c r="E3">
        <v>366</v>
      </c>
      <c r="F3">
        <v>20</v>
      </c>
      <c r="G3">
        <v>21</v>
      </c>
      <c r="H3">
        <v>8.9</v>
      </c>
      <c r="I3" t="s">
        <v>108</v>
      </c>
      <c r="J3">
        <v>100</v>
      </c>
      <c r="K3" t="s">
        <v>111</v>
      </c>
    </row>
    <row r="4" spans="1:11" x14ac:dyDescent="0.3">
      <c r="A4" t="s">
        <v>93</v>
      </c>
      <c r="B4" t="s">
        <v>93</v>
      </c>
      <c r="C4">
        <v>15</v>
      </c>
      <c r="D4" t="s">
        <v>91</v>
      </c>
      <c r="E4">
        <v>100</v>
      </c>
      <c r="F4">
        <v>0.1</v>
      </c>
      <c r="G4">
        <v>0</v>
      </c>
      <c r="H4">
        <v>25</v>
      </c>
      <c r="I4" t="s">
        <v>108</v>
      </c>
      <c r="J4">
        <v>100</v>
      </c>
      <c r="K4" t="s">
        <v>112</v>
      </c>
    </row>
    <row r="5" spans="1:11" x14ac:dyDescent="0.3">
      <c r="A5" t="s">
        <v>94</v>
      </c>
      <c r="B5" t="s">
        <v>113</v>
      </c>
      <c r="C5">
        <v>200</v>
      </c>
      <c r="D5" t="s">
        <v>95</v>
      </c>
      <c r="E5">
        <v>46</v>
      </c>
      <c r="F5">
        <v>3.3</v>
      </c>
      <c r="G5">
        <v>1.5</v>
      </c>
      <c r="H5">
        <v>4.9000000000000004</v>
      </c>
      <c r="I5" t="s">
        <v>114</v>
      </c>
      <c r="J5">
        <v>100</v>
      </c>
      <c r="K5" t="s">
        <v>115</v>
      </c>
    </row>
    <row r="6" spans="1:11" x14ac:dyDescent="0.3">
      <c r="A6" t="s">
        <v>96</v>
      </c>
      <c r="B6" t="s">
        <v>116</v>
      </c>
      <c r="C6">
        <v>1000</v>
      </c>
      <c r="D6" t="s">
        <v>91</v>
      </c>
      <c r="E6">
        <v>348</v>
      </c>
      <c r="F6">
        <v>10</v>
      </c>
      <c r="G6">
        <v>1</v>
      </c>
      <c r="H6">
        <v>72.3</v>
      </c>
      <c r="I6" t="s">
        <v>108</v>
      </c>
      <c r="J6">
        <v>100</v>
      </c>
      <c r="K6" s="4" t="s">
        <v>117</v>
      </c>
    </row>
    <row r="7" spans="1:11" x14ac:dyDescent="0.3">
      <c r="A7" t="s">
        <v>97</v>
      </c>
      <c r="B7" t="s">
        <v>97</v>
      </c>
      <c r="C7">
        <v>100</v>
      </c>
      <c r="D7" t="s">
        <v>91</v>
      </c>
      <c r="E7">
        <v>361</v>
      </c>
      <c r="F7">
        <v>20</v>
      </c>
      <c r="G7">
        <v>15</v>
      </c>
      <c r="H7">
        <v>20</v>
      </c>
      <c r="I7" t="s">
        <v>108</v>
      </c>
      <c r="J7">
        <v>100</v>
      </c>
      <c r="K7" t="s">
        <v>118</v>
      </c>
    </row>
    <row r="8" spans="1:11" x14ac:dyDescent="0.3">
      <c r="A8" t="s">
        <v>98</v>
      </c>
      <c r="B8" t="s">
        <v>98</v>
      </c>
      <c r="C8">
        <v>0</v>
      </c>
      <c r="D8" t="s">
        <v>95</v>
      </c>
      <c r="E8">
        <v>0</v>
      </c>
      <c r="F8">
        <v>0</v>
      </c>
      <c r="G8">
        <v>0</v>
      </c>
      <c r="H8">
        <v>0</v>
      </c>
      <c r="I8" t="s">
        <v>114</v>
      </c>
      <c r="J8">
        <v>100</v>
      </c>
      <c r="K8" t="s">
        <v>119</v>
      </c>
    </row>
    <row r="9" spans="1:11" x14ac:dyDescent="0.3">
      <c r="A9" t="s">
        <v>100</v>
      </c>
      <c r="B9" t="s">
        <v>107</v>
      </c>
      <c r="C9">
        <v>10</v>
      </c>
      <c r="D9" t="s">
        <v>91</v>
      </c>
      <c r="E9">
        <v>374</v>
      </c>
      <c r="F9">
        <v>86</v>
      </c>
      <c r="G9">
        <v>1.5</v>
      </c>
      <c r="H9">
        <v>4</v>
      </c>
      <c r="I9" t="s">
        <v>108</v>
      </c>
      <c r="J9">
        <v>100</v>
      </c>
      <c r="K9" t="s">
        <v>109</v>
      </c>
    </row>
    <row r="10" spans="1:11" x14ac:dyDescent="0.3">
      <c r="A10" t="s">
        <v>101</v>
      </c>
      <c r="B10" t="s">
        <v>120</v>
      </c>
      <c r="C10">
        <v>10</v>
      </c>
      <c r="D10" t="s">
        <v>95</v>
      </c>
      <c r="E10">
        <v>26</v>
      </c>
      <c r="F10">
        <v>0.4</v>
      </c>
      <c r="G10">
        <v>0.1</v>
      </c>
      <c r="H10">
        <v>1.7</v>
      </c>
      <c r="I10" t="s">
        <v>114</v>
      </c>
      <c r="J10">
        <v>100</v>
      </c>
      <c r="K10" t="s">
        <v>121</v>
      </c>
    </row>
    <row r="11" spans="1:11" x14ac:dyDescent="0.3">
      <c r="A11" t="s">
        <v>102</v>
      </c>
      <c r="B11" t="s">
        <v>102</v>
      </c>
      <c r="C11">
        <v>200</v>
      </c>
      <c r="D11" t="s">
        <v>95</v>
      </c>
      <c r="E11">
        <v>23</v>
      </c>
      <c r="F11">
        <v>0.4</v>
      </c>
      <c r="G11">
        <v>1.7</v>
      </c>
      <c r="H11">
        <v>15.3</v>
      </c>
      <c r="I11" t="s">
        <v>114</v>
      </c>
      <c r="J11">
        <v>100</v>
      </c>
      <c r="K11" t="s">
        <v>122</v>
      </c>
    </row>
    <row r="12" spans="1:11" x14ac:dyDescent="0.3">
      <c r="A12" t="s">
        <v>103</v>
      </c>
      <c r="B12" t="s">
        <v>123</v>
      </c>
      <c r="C12">
        <v>340</v>
      </c>
      <c r="D12" t="s">
        <v>95</v>
      </c>
      <c r="E12">
        <v>21</v>
      </c>
      <c r="F12">
        <v>2</v>
      </c>
      <c r="G12">
        <v>0.3</v>
      </c>
      <c r="H12">
        <v>3</v>
      </c>
      <c r="I12" t="s">
        <v>114</v>
      </c>
      <c r="J12">
        <v>100</v>
      </c>
      <c r="K12" t="s">
        <v>124</v>
      </c>
    </row>
    <row r="13" spans="1:11" x14ac:dyDescent="0.3">
      <c r="A13" t="s">
        <v>104</v>
      </c>
      <c r="B13" t="s">
        <v>125</v>
      </c>
      <c r="C13">
        <v>55</v>
      </c>
      <c r="D13" t="s">
        <v>91</v>
      </c>
      <c r="E13">
        <v>137</v>
      </c>
      <c r="F13">
        <v>11.9</v>
      </c>
      <c r="G13">
        <v>9.3000000000000007</v>
      </c>
      <c r="H13">
        <v>1.5</v>
      </c>
      <c r="I13" t="s">
        <v>108</v>
      </c>
      <c r="J13">
        <v>100</v>
      </c>
      <c r="K13" t="s">
        <v>126</v>
      </c>
    </row>
    <row r="14" spans="1:11" x14ac:dyDescent="0.3">
      <c r="A14" t="s">
        <v>105</v>
      </c>
      <c r="B14" t="s">
        <v>127</v>
      </c>
      <c r="C14">
        <v>100</v>
      </c>
      <c r="D14" t="s">
        <v>95</v>
      </c>
      <c r="E14">
        <v>286</v>
      </c>
      <c r="F14">
        <v>0</v>
      </c>
      <c r="G14">
        <v>0</v>
      </c>
      <c r="H14">
        <v>68</v>
      </c>
      <c r="I14" t="s">
        <v>114</v>
      </c>
      <c r="J14">
        <v>100</v>
      </c>
      <c r="K14" t="s">
        <v>128</v>
      </c>
    </row>
    <row r="15" spans="1:11" x14ac:dyDescent="0.3">
      <c r="A15" t="s">
        <v>106</v>
      </c>
      <c r="B15" t="s">
        <v>106</v>
      </c>
      <c r="C15">
        <v>50</v>
      </c>
      <c r="D15" t="s">
        <v>91</v>
      </c>
      <c r="E15">
        <v>0</v>
      </c>
      <c r="F15">
        <v>0</v>
      </c>
      <c r="G15">
        <v>0</v>
      </c>
      <c r="H15">
        <v>0</v>
      </c>
      <c r="I15" t="s">
        <v>108</v>
      </c>
      <c r="J15">
        <v>100</v>
      </c>
      <c r="K15" t="s">
        <v>129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Desserts</vt:lpstr>
      <vt:lpstr>Breakfast</vt:lpstr>
      <vt:lpstr>Lunch</vt:lpstr>
      <vt:lpstr>Ingredients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2023-03-01T10:20:18Z</dcterms:modified>
  <cp:category/>
  <cp:contentStatus/>
</cp:coreProperties>
</file>