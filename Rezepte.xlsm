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E:\CodingProjects\yazioCrawler\"/>
    </mc:Choice>
  </mc:AlternateContent>
  <xr:revisionPtr revIDLastSave="0" documentId="13_ncr:1_{B8EC52CE-8CFF-4898-B07E-FF3D20E3F76D}" xr6:coauthVersionLast="47" xr6:coauthVersionMax="47" xr10:uidLastSave="{00000000-0000-0000-0000-000000000000}"/>
  <bookViews>
    <workbookView xWindow="-110" yWindow="-110" windowWidth="38620" windowHeight="21220" xr2:uid="{00000000-000D-0000-FFFF-FFFF00000000}"/>
  </bookViews>
  <sheets>
    <sheet name="Overview" sheetId="5" r:id="rId1"/>
    <sheet name="Desserts" sheetId="1" r:id="rId2"/>
    <sheet name="Breakfast" sheetId="2" r:id="rId3"/>
    <sheet name="Lunch" sheetId="3" r:id="rId4"/>
    <sheet name="Ingredients" sheetId="4" r:id="rId5"/>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3" i="1" l="1"/>
  <c r="CK3" i="1"/>
  <c r="CJ3" i="1"/>
  <c r="CI3" i="1"/>
  <c r="CE3" i="1"/>
  <c r="CD3" i="1"/>
  <c r="CC3" i="1"/>
  <c r="CB3" i="1"/>
  <c r="BX3" i="1"/>
  <c r="BW3" i="1"/>
  <c r="BV3" i="1"/>
  <c r="BU3" i="1"/>
  <c r="BQ3" i="1"/>
  <c r="BP3" i="1"/>
  <c r="BO3" i="1"/>
  <c r="BN3" i="1"/>
  <c r="BJ3" i="1"/>
  <c r="BI3" i="1"/>
  <c r="BH3" i="1"/>
  <c r="BG3" i="1"/>
  <c r="BC3" i="1"/>
  <c r="BB3" i="1"/>
  <c r="BA3" i="1"/>
  <c r="AZ3" i="1"/>
  <c r="AV3" i="1"/>
  <c r="AU3" i="1"/>
  <c r="AT3" i="1"/>
  <c r="AS3" i="1"/>
  <c r="AO3" i="1"/>
  <c r="AN3" i="1"/>
  <c r="AM3" i="1"/>
  <c r="AL3" i="1"/>
  <c r="AH3" i="1"/>
  <c r="AG3" i="1"/>
  <c r="AF3" i="1"/>
  <c r="AE3" i="1"/>
  <c r="AA3" i="1"/>
  <c r="Z3" i="1"/>
  <c r="Y3" i="1"/>
  <c r="X3" i="1"/>
  <c r="T3" i="1"/>
  <c r="S3" i="1"/>
  <c r="R3" i="1"/>
  <c r="Q3" i="1"/>
  <c r="AO2" i="1"/>
  <c r="AN2" i="1"/>
  <c r="AM2" i="1"/>
  <c r="AL2" i="1"/>
  <c r="AH2" i="1"/>
  <c r="AG2" i="1"/>
  <c r="AF2" i="1"/>
  <c r="AE2" i="1"/>
  <c r="AA2" i="1"/>
  <c r="Z2" i="1"/>
  <c r="Y2" i="1"/>
  <c r="X2" i="1"/>
  <c r="T2" i="1"/>
  <c r="S2" i="1"/>
  <c r="R2" i="1"/>
  <c r="Q2" i="1"/>
  <c r="J13" i="2"/>
  <c r="I13" i="2"/>
  <c r="H13" i="2"/>
  <c r="G13" i="2"/>
  <c r="J12" i="2"/>
  <c r="I12" i="2"/>
  <c r="H12" i="2"/>
  <c r="G12" i="2"/>
  <c r="J11" i="2"/>
  <c r="I11" i="2"/>
  <c r="H11" i="2"/>
  <c r="G11" i="2"/>
  <c r="J10" i="2"/>
  <c r="I10" i="2"/>
  <c r="H10" i="2"/>
  <c r="G10" i="2"/>
  <c r="J9" i="2"/>
  <c r="I9" i="2"/>
  <c r="H9" i="2"/>
  <c r="G9" i="2"/>
  <c r="J8" i="2"/>
  <c r="I8" i="2"/>
  <c r="H8" i="2"/>
  <c r="G8" i="2"/>
  <c r="J7" i="2"/>
  <c r="I7" i="2"/>
  <c r="H7" i="2"/>
  <c r="G7" i="2"/>
  <c r="J6" i="2"/>
  <c r="I6" i="2"/>
  <c r="H6" i="2"/>
  <c r="G6" i="2"/>
  <c r="J5" i="2"/>
  <c r="I5" i="2"/>
  <c r="H5" i="2"/>
  <c r="G5" i="2"/>
  <c r="J4" i="2"/>
  <c r="I4" i="2"/>
  <c r="H4" i="2"/>
  <c r="G4" i="2"/>
  <c r="J3" i="2"/>
  <c r="I3" i="2"/>
  <c r="H3" i="2"/>
  <c r="G3" i="2"/>
  <c r="J13" i="3"/>
  <c r="I13" i="3"/>
  <c r="H13" i="3"/>
  <c r="G13" i="3"/>
  <c r="J12" i="3"/>
  <c r="I12" i="3"/>
  <c r="H12" i="3"/>
  <c r="G12" i="3"/>
  <c r="J11" i="3"/>
  <c r="I11" i="3"/>
  <c r="H11" i="3"/>
  <c r="G11" i="3"/>
  <c r="J10" i="3"/>
  <c r="I10" i="3"/>
  <c r="H10" i="3"/>
  <c r="G10" i="3"/>
  <c r="J9" i="3"/>
  <c r="I9" i="3"/>
  <c r="H9" i="3"/>
  <c r="G9" i="3"/>
  <c r="J8" i="3"/>
  <c r="I8" i="3"/>
  <c r="H8" i="3"/>
  <c r="G8" i="3"/>
  <c r="J7" i="3"/>
  <c r="I7" i="3"/>
  <c r="H7" i="3"/>
  <c r="G7" i="3"/>
  <c r="J6" i="3"/>
  <c r="I6" i="3"/>
  <c r="H6" i="3"/>
  <c r="G6" i="3"/>
  <c r="J5" i="3"/>
  <c r="I5" i="3"/>
  <c r="H5" i="3"/>
  <c r="G5" i="3"/>
  <c r="J4" i="3"/>
  <c r="I4" i="3"/>
  <c r="H4" i="3"/>
  <c r="G4" i="3"/>
  <c r="J3" i="3"/>
  <c r="I3" i="3"/>
  <c r="H3" i="3"/>
  <c r="G3" i="3"/>
  <c r="J2" i="3"/>
  <c r="I2" i="3"/>
  <c r="H2" i="3"/>
  <c r="G2" i="3"/>
  <c r="J2" i="2"/>
  <c r="I2" i="2"/>
  <c r="H2" i="2"/>
  <c r="G2" i="2"/>
  <c r="J8" i="1"/>
  <c r="I8" i="1"/>
  <c r="H8" i="1"/>
  <c r="G8" i="1"/>
  <c r="J7" i="1"/>
  <c r="I7" i="1"/>
  <c r="H7" i="1"/>
  <c r="G7" i="1"/>
  <c r="J6" i="1"/>
  <c r="I6" i="1"/>
  <c r="H6" i="1"/>
  <c r="G6" i="1"/>
  <c r="J5" i="1"/>
  <c r="I5" i="1"/>
  <c r="H5" i="1"/>
  <c r="G5" i="1"/>
  <c r="J4" i="1"/>
  <c r="I4" i="1"/>
  <c r="H4" i="1"/>
  <c r="G4" i="1"/>
  <c r="H3" i="1" l="1"/>
  <c r="G3" i="1"/>
  <c r="I3" i="1"/>
  <c r="G2" i="1"/>
  <c r="J3" i="1"/>
  <c r="H2" i="1"/>
  <c r="I2" i="1"/>
  <c r="J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tc={163062F9-D2AC-4AFF-A5EB-2CB3E57CE335}</author>
  </authors>
  <commentList>
    <comment ref="D1" authorId="0" shapeId="0" xr:uid="{163062F9-D2AC-4AFF-A5EB-2CB3E57CE335}">
      <text>
        <t>[Threaded comment]
Your version of Excel allows you to read this threaded comment; however, any edits to it will get removed if the file is opened in a newer version of Excel. Learn more: https://go.microsoft.com/fwlink/?linkid=870924
Comment:
    -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tc={DB58CDB7-613B-4BEC-9DB2-2D144C16B111}</author>
  </authors>
  <commentList>
    <comment ref="D1" authorId="0" shapeId="0" xr:uid="{DB58CDB7-613B-4BEC-9DB2-2D144C16B111}">
      <text>
        <t>[Threaded comment]
Your version of Excel allows you to read this threaded comment; however, any edits to it will get removed if the file is opened in a newer version of Excel. Learn more: https://go.microsoft.com/fwlink/?linkid=870924
Comment:
    -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tc={26D00B4E-407F-4C5D-BDFE-4453623B169A}</author>
  </authors>
  <commentList>
    <comment ref="D1" authorId="0" shapeId="0" xr:uid="{26D00B4E-407F-4C5D-BDFE-4453623B169A}">
      <text>
        <t>[Threaded comment]
Your version of Excel allows you to read this threaded comment; however, any edits to it will get removed if the file is opened in a newer version of Excel. Learn more: https://go.microsoft.com/fwlink/?linkid=870924
Comment:
    -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
      </text>
    </comment>
  </commentList>
</comments>
</file>

<file path=xl/sharedStrings.xml><?xml version="1.0" encoding="utf-8"?>
<sst xmlns="http://schemas.openxmlformats.org/spreadsheetml/2006/main" count="631" uniqueCount="131">
  <si>
    <t>ID</t>
  </si>
  <si>
    <t>Link</t>
  </si>
  <si>
    <t>Protein</t>
  </si>
  <si>
    <t>Carbs</t>
  </si>
  <si>
    <t>Protein brownie</t>
  </si>
  <si>
    <t>https://www.youtube.com/watch?v=cfBcVJO-6Rs</t>
  </si>
  <si>
    <t>1. Alles in eine Tasse schütten und in die Mikrowelle für 30 sec auf höchster Stufe</t>
  </si>
  <si>
    <t>alles</t>
  </si>
  <si>
    <t>x</t>
  </si>
  <si>
    <t>Zu flüssig und wheyig, vielleicht mit etwas mehl statt whey testen</t>
  </si>
  <si>
    <t>Lemon Cake</t>
  </si>
  <si>
    <t>https://www.youtube.com/watch?v=qVHAd4jIWnI</t>
  </si>
  <si>
    <t>1. Frischkäse, eier und lemon zests im mixer fein mixen.
2. vermischen mit den restlichen bestandteilen und in eine Form geben
3. Als frosting irgendwas nutzen (zu, Beispiel Zuckerguss)</t>
  </si>
  <si>
    <t xml:space="preserve">Frosting finde ich nicht wirklich gut. Der Teig ist aber spitze. Stattdessen mit Xucker einen Zuckerguss machen. </t>
  </si>
  <si>
    <t>Protein Cookie</t>
  </si>
  <si>
    <t>https://www.youtube.com/watch?v=bC-a7YXi8J0</t>
  </si>
  <si>
    <t>1 1/2 EL Dattelsirup
Schoko Tröpfchen
1/2 EL Backkakao
2 EL Schoko Whey
1 1/2 EL Erdnussbutter</t>
  </si>
  <si>
    <t>1. alles miteinander vermischen
2. Für 1 min in die Mikrowelle bei 300-600 Watt</t>
  </si>
  <si>
    <t>Nicht zu lange in der Mikro lassen, da er sonst etwas "sandig" wird. Evtl ein kleines bisschen Milch hinzufügen.</t>
  </si>
  <si>
    <t>Protein Chocolate Cookie Chip</t>
  </si>
  <si>
    <t>https://www.youtube.com/watch?v=eicCbHcTu9s</t>
  </si>
  <si>
    <t>60g Whey/Casein Blend Vanilla
40g Whey
30g Mehl
20g Mandelmehl
10g Kokosnussmehl
4g Süßstoff
6g Natron
100g Griechischer Joghurt
60g Zuckerfreier Sirup
2 große Eier
30g mini chocolate chips</t>
  </si>
  <si>
    <t>1.) Preheat your oven to 350 degrees F. Add all of your dry ingredients (except for the mini chocolate chips) to a bowl and mix, then add your wet ingredients and mix some more. Add the batter to your freezer for 10 minutes to thicken up, then fold in your mini chocolate chips.
2.) Line an oven safe pan with parchment paper leaving enough room for 12 cookies. Take your cookie scooper and add 12 cookie dough balls to the pan, then add the pan to your oven for 6 minutes. This is extremely important because the cooking time is essential.
3.) Once they’re done, take your pan out of the oven and with a spatula, carefully transport your cookies to a cooling rack. Let them cool and firm up for 1-2 hours and enjoy!</t>
  </si>
  <si>
    <t>Protein Maxi King</t>
  </si>
  <si>
    <t>https://www.youtube.com/watch?v=tCboiFjTkIw</t>
  </si>
  <si>
    <t xml:space="preserve">Boden
30g zarte Haferflocken
10g Haselnüsse
1 Ei
Crème
250g Magerquark
100 Skyr/griechischer Joghurt
Proteinpulver (optional)
etwas Wasser
halbe Packung Gelatine
Karamell
Xylit/Erythrit
Schokosauce
30g backkaako
etwas Wasser 
</t>
  </si>
  <si>
    <t xml:space="preserve">1. Boden mahlen und im Backofen für 20 min mit 180 Grad backen
2. Alles außer der Gelantine vermischen , gelantine vorbereiten und anschließend vermischen. Die Hälfte der Crème auf den boden verteilen. 
3. Karamell aus Xylit herstelen und abkühlen lassen, danach auf der Creme verteilen
4. SChokosauce herstellen und andere hälfte der creme verteilen
5.  in 6 stücke schneiden und anschließend schokosauce und haselnüsse verteilen. </t>
  </si>
  <si>
    <t>Protein French Toast</t>
  </si>
  <si>
    <t>https://www.youtube.com/watch?v=1xkSlkV3Q4Y</t>
  </si>
  <si>
    <t>4 Sandwich bread sllices
1 Egg
250g Egg whites
sweetener 10-20g</t>
  </si>
  <si>
    <t xml:space="preserve">1. Scheiben in Pfanne anbraten
2. Andere Zutaten zusammenmischen
3. Scheiben einweichen
4. Scheiben wieder anbraten und mit restlicher Flüssigkeit übergeießen bis alles geronnen ist. </t>
  </si>
  <si>
    <t>Protein Cheesecake</t>
  </si>
  <si>
    <t>https://www.youtube.com/watch?v=l7RAaLZZDZI</t>
  </si>
  <si>
    <t>Protein Waffeln</t>
  </si>
  <si>
    <t>https://mealpreponfleek.com/protein-freezer-waffles/?utm_source=meal%20prep%20on%20fleek&amp;utm_medium=breakfast%20round%20up</t>
  </si>
  <si>
    <t>For the waffles
    1 packet BiPro Protein Powder approximately 29g
    3/4 cup old fashion oats
    1 cup cottage cheese the higher fat content, the better (we used 4% fat)
    3 large eggs
    2 tsp maple syrup or sweetener of choice (adjust to liking)
    1 tsp pure vanilla extract
    1/2 tsp baking powder
For meal prepping
    4 cups berries
    4 tbsp maple syrup
    4 tbsp almond butter or nut butter of choice</t>
  </si>
  <si>
    <t xml:space="preserve">    Place all waffle ingredients in a food processor or blender and blend until smooth.
    Preheat your waffle maker and coat with non-stick spray.
    Pour about 3-4 tbsp* of batter into each waffle section in your waffle maker.
    Cook according to waffle maker directions.
    Repeat until all batter is cooked. 
To meal prep
    Evenly divide the waffles among four meal prep containers.
    Add 1 cup berries and 1 tbsp each maple syrup and almond butter to each container.
    Cover and store until ready to eat.
    When it is time to eat, you can enjoy these cold or heat them in the toaster oven, microwave or regular oven. Please note that reheating them in the microwave might leave them a bit soft. </t>
  </si>
  <si>
    <t>Pumpkin Apple French Toast</t>
  </si>
  <si>
    <t>https://www.self.com/recipe/pumpkin-apple-french-toast-bake</t>
  </si>
  <si>
    <t>6 large eggs
½ cup canned pumpkin
2tablespoons almond butter
1tablespoon maple syrup
1teaspoon vanilla extract
½ teaspoon cinnamon
4slices whole wheat bread, cut in 1-inch pieces
1 medium apple, cored and very thinly sliced</t>
  </si>
  <si>
    <t>1. Heat oven to 375°.
2. In a bowl, whisk eggs, pumpkin, almond butter, maple syrup, vanilla, and cinnamon. Add bread and toss until egg mixture is absorbed. Mix in apple.
3. Coat a small oven-safe skillet (preferably cast iron) or 8-inch round cake pan with cooking spray. Carefully pour bread mixture into skillet and press into an even layer.
4. Bake until cooked through, puffed and slightly browned on top, 30 to 35 minutes. Cool slightly before serving.
5. Cool leftovers completely before storing in an airtight container in the fridge.</t>
  </si>
  <si>
    <t>Casserole</t>
  </si>
  <si>
    <t>https://www.eatingbirdfood.com/healthy-breakfast-casserole/</t>
  </si>
  <si>
    <t>10 large eggs, beaten
1 cup unsweetened almond milk , or any milk
1-2 cups fresh broccoli, chopped into bite-size florets
½ cup cottage cheese
½ cup feta cheese
⅓ cup onion, chopped
¼ cup chopped parsley
2 cloves garlic, minced
¾ teaspoon sea salt
½ teaspoon ground pepper
5 slices sourdough bread, chopped into cubes (5 cups loosely packed) </t>
  </si>
  <si>
    <t>1. Spray 9×13 rectangular baking dish with cooking spray. I like to use avocado or olive oil spray. Set aside. 
2. Combine all ingredients except bread in a large bowl. Toss to combine
3. Add bread cubes into prepared baking dish. Pour the egg mixture over the bread cubes. Cover, and refrigerate at least 1-2 hours or overnight.
4. Remove the casserole from the refrigerator 30 minutes before baking. Preheat oven to 350°.
5. Bake about 50 minutes, or until the middle of the casserole is no longer jiggly and a knife inserted in the center comes out clean. Let cool 5 minutes before serving.</t>
  </si>
  <si>
    <t>https://damndelicious.net/2016/07/15/healthy-protein-waffles/</t>
  </si>
  <si>
    <t>Pumpkin Pancakes</t>
  </si>
  <si>
    <t>https://www.self.com/recipe/pumpkin-protein-pancakes</t>
  </si>
  <si>
    <t>Sheet Pan Pancakes</t>
  </si>
  <si>
    <t>https://sweetpeasandsaffron.com/no-flipping-meal-prep-protein-pancakes-sheet-pan/</t>
  </si>
  <si>
    <t>Pumpkin Muffins</t>
  </si>
  <si>
    <t>https://www.youtube.com/watch?v=LnIYZMHa9-k&amp;t=21s</t>
  </si>
  <si>
    <t>Peaches Baked Oatmeal</t>
  </si>
  <si>
    <t>https://www.youtube.com/watch?v=jzs91PxuGYk&amp;t=37s</t>
  </si>
  <si>
    <t>Breakfast Tacos</t>
  </si>
  <si>
    <t>https://www.youtube.com/watch?v=pBjOYZFEM64&amp;t=21s</t>
  </si>
  <si>
    <t>Brownie Baked Oatmeal</t>
  </si>
  <si>
    <t>https://www.youtube.com/watch?v=vfWi74e8jzE</t>
  </si>
  <si>
    <t>Shakshuka</t>
  </si>
  <si>
    <t>https://hurrythefoodup.com/vegetarian-shakshuka/</t>
  </si>
  <si>
    <t>Erdbeer Oatmeal</t>
  </si>
  <si>
    <t>https://www.youtube.com/watch?v=ZjbujQgSbSE</t>
  </si>
  <si>
    <t>Crispy Tofu Teriyaki</t>
  </si>
  <si>
    <t>https://de.myprotein.com/thezone/rezepte/crispy-tofu-teriyaki-nudeln-meal-prep/</t>
  </si>
  <si>
    <t>Powerbowl</t>
  </si>
  <si>
    <t>https://www.foodspring.de/magazine/fitness-rezepte/proteinreiche-powerbowl</t>
  </si>
  <si>
    <t>Bolognese</t>
  </si>
  <si>
    <t>https://hurrythefoodup.com/vegan-lentil-bolognese/</t>
  </si>
  <si>
    <t xml:space="preserve">Rührei </t>
  </si>
  <si>
    <t>https://hurrythefoodup.com/scrambled-eggs-with-cream-cheese/</t>
  </si>
  <si>
    <t>Tortellini Caprese</t>
  </si>
  <si>
    <t>https://balancewithjess.com/tortellini-caprese/</t>
  </si>
  <si>
    <t>Tofu Stir Fry</t>
  </si>
  <si>
    <t>https://healthmylifestyle.com/easy-tofu-stir-fry</t>
  </si>
  <si>
    <t>Butter Chicken</t>
  </si>
  <si>
    <t>https://www.youtube.com/watch?v=bGxg6TUmXos&amp;t=470s</t>
  </si>
  <si>
    <t>Protein Sharwarma</t>
  </si>
  <si>
    <t>https://www.youtube.com/watch?v=y1V4nCE5j2E</t>
  </si>
  <si>
    <t>Nashville Hot Chicken Nuggets</t>
  </si>
  <si>
    <t>https://www.youtube.com/watch?v=KasX2xTCkOA</t>
  </si>
  <si>
    <t>Broccoli &amp; Beef</t>
  </si>
  <si>
    <t>https://www.youtube.com/watch?v=nWqPFOv5dpQ</t>
  </si>
  <si>
    <t>Chili Con Carne</t>
  </si>
  <si>
    <t xml:space="preserve"> 200ml Brühe
800ml passierte Tomaten
500g Rinderhack
400g Kidney Bohnen
300g Karotten
1 Paprika
2 Gemüsezwiebeln
Paprika
Curry
Salz
Pfeffer</t>
  </si>
  <si>
    <t>Lasagne</t>
  </si>
  <si>
    <t>400g Rinderhack
400g Körniger Frischkäse
200ml Gemüsebrühe
300g Karotten
250g Pilze
1000g passierte Tomaten</t>
  </si>
  <si>
    <t>OriginalName</t>
  </si>
  <si>
    <t>Serving Size Value</t>
  </si>
  <si>
    <t>Serving Size Unit</t>
  </si>
  <si>
    <t>-30g Protein Pulver #Test
-7g Kakaopulver
-4g Backpulver
-60ml Milch</t>
  </si>
  <si>
    <t>Protein Pulver</t>
  </si>
  <si>
    <t>g</t>
  </si>
  <si>
    <t>Kakaopulver</t>
  </si>
  <si>
    <t>Backpulver</t>
  </si>
  <si>
    <t>Milch</t>
  </si>
  <si>
    <t>ml</t>
  </si>
  <si>
    <t>Mehl</t>
  </si>
  <si>
    <t>Kokosmehl</t>
  </si>
  <si>
    <t>Stevia</t>
  </si>
  <si>
    <t>Ingredients Teig:
-80g Mehl
-20g Kokosmehl
-20g Stevia
-45g Vanille Protein Pulver
-20g Zitronen Zesten # 3 Zitronen
-40ml Limettensaft #eine limetter
-200g nonfat cottage cheese
-128g Ei # 2 Eier
-4g Vanille Extrakt
-3g Natron
-7g Backpulver</t>
  </si>
  <si>
    <t>Vanille Protein Pulver</t>
  </si>
  <si>
    <t>Zitronen Zesten</t>
  </si>
  <si>
    <t>Limettensaft</t>
  </si>
  <si>
    <t>nonfat cottage cheese</t>
  </si>
  <si>
    <t>Ei</t>
  </si>
  <si>
    <t>Vanille Extrakt</t>
  </si>
  <si>
    <t>Natron</t>
  </si>
  <si>
    <t>FoundName</t>
  </si>
  <si>
    <t>Calories</t>
  </si>
  <si>
    <t>Fat</t>
  </si>
  <si>
    <t>relation</t>
  </si>
  <si>
    <t>product link</t>
  </si>
  <si>
    <t>Title</t>
  </si>
  <si>
    <t>Ingredients</t>
  </si>
  <si>
    <t>Preparation</t>
  </si>
  <si>
    <t>Unit</t>
  </si>
  <si>
    <t>Tested</t>
  </si>
  <si>
    <t>Rating (1 to 10)</t>
  </si>
  <si>
    <t>Comment</t>
  </si>
  <si>
    <t>Ingredient</t>
  </si>
  <si>
    <t>Amount</t>
  </si>
  <si>
    <t>SingleIngredients</t>
  </si>
  <si>
    <t>relation numerisch</t>
  </si>
  <si>
    <t>Single Ingredients</t>
  </si>
  <si>
    <t>Path to Python App</t>
  </si>
  <si>
    <t>Data Source</t>
  </si>
  <si>
    <t>fddb</t>
  </si>
  <si>
    <t>C:\foodcrawler.exe</t>
  </si>
  <si>
    <t>Config Variable</t>
  </si>
  <si>
    <t>Config Value</t>
  </si>
  <si>
    <t>Possible Data Sources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</si>
</sst>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8"/>
      <color theme="1"/>
      <name val="Calibri"/>
      <family val="2"/>
      <scheme val="minor"/>
    </font>
  </fonts>
  <fills count="3">
    <fill>
      <patternFill patternType="none"/>
    </fill>
    <fill>
      <patternFill patternType="gray125"/>
    </fill>
    <fill>
      <patternFill patternType="solid">
        <fgColor theme="9" tint="0.59999389629810485"/>
        <bgColor indexed="64"/>
      </patternFill>
    </fill>
  </fills>
  <borders count="5">
    <border>
      <left/>
      <right/>
      <top/>
      <bottom/>
      <diagonal/>
    </border>
    <border>
      <left/>
      <right/>
      <top/>
      <bottom style="medium">
        <color indexed="64"/>
      </bottom>
      <diagonal/>
    </border>
    <border>
      <left/>
      <right style="thick">
        <color indexed="64"/>
      </right>
      <top/>
      <bottom/>
      <diagonal/>
    </border>
    <border>
      <left/>
      <right/>
      <top/>
      <bottom style="thick">
        <color indexed="64"/>
      </bottom>
      <diagonal/>
    </border>
    <border>
      <left/>
      <right style="thick">
        <color indexed="64"/>
      </right>
      <top/>
      <bottom style="thick">
        <color indexed="64"/>
      </bottom>
      <diagonal/>
    </border>
  </borders>
  <cellStyleXfs count="2">
    <xf numFmtId="0" fontId="0" fillId="0" borderId="0"/>
    <xf numFmtId="0" fontId="1" fillId="0" borderId="0" applyNumberFormat="0" applyFill="0" applyBorder="0" applyAlignment="0" applyProtection="0"/>
  </cellStyleXfs>
  <cellXfs count="14">
    <xf numFmtId="0" fontId="0" fillId="0" borderId="0" xfId="0"/>
    <xf numFmtId="0" fontId="0" fillId="0" borderId="0" xfId="0" applyAlignment="1">
      <alignment wrapText="1"/>
    </xf>
    <xf numFmtId="0" fontId="0" fillId="0" borderId="0" xfId="0" quotePrefix="1" applyAlignment="1">
      <alignment wrapText="1"/>
    </xf>
    <xf numFmtId="0" fontId="0" fillId="0" borderId="0" xfId="0" quotePrefix="1" applyAlignment="1">
      <alignment vertical="top" wrapText="1"/>
    </xf>
    <xf numFmtId="0" fontId="1" fillId="0" borderId="0" xfId="1"/>
    <xf numFmtId="0" fontId="2" fillId="0" borderId="0" xfId="0" applyFont="1" applyAlignment="1">
      <alignment wrapText="1"/>
    </xf>
    <xf numFmtId="0" fontId="2" fillId="0" borderId="0" xfId="0" applyFont="1"/>
    <xf numFmtId="1" fontId="0" fillId="0" borderId="0" xfId="0" applyNumberFormat="1"/>
    <xf numFmtId="0" fontId="0" fillId="0" borderId="1" xfId="0" applyBorder="1"/>
    <xf numFmtId="0" fontId="0" fillId="0" borderId="2" xfId="0" applyBorder="1"/>
    <xf numFmtId="0" fontId="0" fillId="0" borderId="0" xfId="0" applyBorder="1"/>
    <xf numFmtId="0" fontId="0" fillId="0" borderId="4" xfId="0" applyBorder="1"/>
    <xf numFmtId="0" fontId="0" fillId="0" borderId="3" xfId="0" applyBorder="1"/>
    <xf numFmtId="0" fontId="0" fillId="2" borderId="0" xfId="0" applyFill="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488950</xdr:colOff>
          <xdr:row>3</xdr:row>
          <xdr:rowOff>127000</xdr:rowOff>
        </xdr:from>
        <xdr:to>
          <xdr:col>8</xdr:col>
          <xdr:colOff>0</xdr:colOff>
          <xdr:row>7</xdr:row>
          <xdr:rowOff>101600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Calibri"/>
                  <a:cs typeface="Calibri"/>
                </a:rPr>
                <a:t>Download Python Programm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514350</xdr:colOff>
          <xdr:row>8</xdr:row>
          <xdr:rowOff>139700</xdr:rowOff>
        </xdr:from>
        <xdr:to>
          <xdr:col>7</xdr:col>
          <xdr:colOff>590550</xdr:colOff>
          <xdr:row>12</xdr:row>
          <xdr:rowOff>120650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Calibri"/>
                  <a:cs typeface="Calibri"/>
                </a:rPr>
                <a:t>Run Ingredients Updating</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Felix Kleine Bösing" id="{3D835940-3DFF-4850-AAFF-AE8ACAFB46BD}" userId="c906c0fe4c0c30c4"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 dT="2023-02-13T21:28:04.42" personId="{3D835940-3DFF-4850-AAFF-AE8ACAFB46BD}" id="{163062F9-D2AC-4AFF-A5EB-2CB3E57CE335}">
    <text>-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ext>
  </threadedComment>
</ThreadedComments>
</file>

<file path=xl/threadedComments/threadedComment2.xml><?xml version="1.0" encoding="utf-8"?>
<ThreadedComments xmlns="http://schemas.microsoft.com/office/spreadsheetml/2018/threadedcomments" xmlns:x="http://schemas.openxmlformats.org/spreadsheetml/2006/main">
  <threadedComment ref="D1" dT="2023-02-13T21:28:04.42" personId="{3D835940-3DFF-4850-AAFF-AE8ACAFB46BD}" id="{DB58CDB7-613B-4BEC-9DB2-2D144C16B111}">
    <text>-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ext>
  </threadedComment>
</ThreadedComments>
</file>

<file path=xl/threadedComments/threadedComment3.xml><?xml version="1.0" encoding="utf-8"?>
<ThreadedComments xmlns="http://schemas.microsoft.com/office/spreadsheetml/2018/threadedcomments" xmlns:x="http://schemas.openxmlformats.org/spreadsheetml/2006/main">
  <threadedComment ref="D1" dT="2023-02-13T21:28:04.42" personId="{3D835940-3DFF-4850-AAFF-AE8ACAFB46BD}" id="{26D00B4E-407F-4C5D-BDFE-4453623B169A}">
    <text>-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www.youtube.com/watch?v=bC-a7YXi8J0" TargetMode="External"/><Relationship Id="rId7" Type="http://schemas.openxmlformats.org/officeDocument/2006/relationships/vmlDrawing" Target="../drawings/vmlDrawing2.vml"/><Relationship Id="rId2" Type="http://schemas.openxmlformats.org/officeDocument/2006/relationships/hyperlink" Target="https://www.youtube.com/watch?v=tCboiFjTkIw" TargetMode="External"/><Relationship Id="rId1" Type="http://schemas.openxmlformats.org/officeDocument/2006/relationships/hyperlink" Target="https://www.youtube.com/watch?v=cfBcVJO-6Rs" TargetMode="External"/><Relationship Id="rId6" Type="http://schemas.openxmlformats.org/officeDocument/2006/relationships/hyperlink" Target="https://www.youtube.com/watch?v=1xkSlkV3Q4Y" TargetMode="External"/><Relationship Id="rId5" Type="http://schemas.openxmlformats.org/officeDocument/2006/relationships/hyperlink" Target="https://www.youtube.com/watch?v=eicCbHcTu9s" TargetMode="External"/><Relationship Id="rId4" Type="http://schemas.openxmlformats.org/officeDocument/2006/relationships/hyperlink" Target="https://www.youtube.com/watch?v=qVHAd4jIWnI" TargetMode="Externa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youtube.com/watch?v=jzs91PxuGYk&amp;t=37s" TargetMode="External"/><Relationship Id="rId13" Type="http://schemas.openxmlformats.org/officeDocument/2006/relationships/comments" Target="../comments2.xml"/><Relationship Id="rId3" Type="http://schemas.openxmlformats.org/officeDocument/2006/relationships/hyperlink" Target="https://www.eatingbirdfood.com/healthy-breakfast-casserole/" TargetMode="External"/><Relationship Id="rId7" Type="http://schemas.openxmlformats.org/officeDocument/2006/relationships/hyperlink" Target="https://www.youtube.com/watch?v=LnIYZMHa9-k&amp;t=21s" TargetMode="External"/><Relationship Id="rId12" Type="http://schemas.openxmlformats.org/officeDocument/2006/relationships/vmlDrawing" Target="../drawings/vmlDrawing3.vml"/><Relationship Id="rId2" Type="http://schemas.openxmlformats.org/officeDocument/2006/relationships/hyperlink" Target="https://www.self.com/recipe/pumpkin-apple-french-toast-bake" TargetMode="External"/><Relationship Id="rId1" Type="http://schemas.openxmlformats.org/officeDocument/2006/relationships/hyperlink" Target="https://mealpreponfleek.com/protein-freezer-waffles/?utm_source=meal%20prep%20on%20fleek&amp;utm_medium=breakfast%20round%20up" TargetMode="External"/><Relationship Id="rId6" Type="http://schemas.openxmlformats.org/officeDocument/2006/relationships/hyperlink" Target="https://sweetpeasandsaffron.com/no-flipping-meal-prep-protein-pancakes-sheet-pan/" TargetMode="External"/><Relationship Id="rId11" Type="http://schemas.openxmlformats.org/officeDocument/2006/relationships/printerSettings" Target="../printerSettings/printerSettings2.bin"/><Relationship Id="rId5" Type="http://schemas.openxmlformats.org/officeDocument/2006/relationships/hyperlink" Target="https://www.self.com/recipe/pumpkin-protein-pancakes" TargetMode="External"/><Relationship Id="rId10" Type="http://schemas.openxmlformats.org/officeDocument/2006/relationships/hyperlink" Target="https://www.youtube.com/watch?v=vfWi74e8jzE" TargetMode="External"/><Relationship Id="rId4" Type="http://schemas.openxmlformats.org/officeDocument/2006/relationships/hyperlink" Target="https://damndelicious.net/2016/07/15/healthy-protein-waffles/" TargetMode="External"/><Relationship Id="rId9" Type="http://schemas.openxmlformats.org/officeDocument/2006/relationships/hyperlink" Target="https://www.youtube.com/watch?v=pBjOYZFEM64&amp;t=21s" TargetMode="External"/><Relationship Id="rId14"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s://de.myprotein.com/thezone/rezepte/crispy-tofu-teriyaki-nudeln-meal-prep/" TargetMode="External"/><Relationship Id="rId7" Type="http://schemas.openxmlformats.org/officeDocument/2006/relationships/comments" Target="../comments3.xml"/><Relationship Id="rId2" Type="http://schemas.openxmlformats.org/officeDocument/2006/relationships/hyperlink" Target="https://healthmylifestyle.com/easy-tofu-stir-fry" TargetMode="External"/><Relationship Id="rId1" Type="http://schemas.openxmlformats.org/officeDocument/2006/relationships/hyperlink" Target="https://www.youtube.com/watch?v=KasX2xTCkOA" TargetMode="External"/><Relationship Id="rId6" Type="http://schemas.openxmlformats.org/officeDocument/2006/relationships/vmlDrawing" Target="../drawings/vmlDrawing4.vml"/><Relationship Id="rId5" Type="http://schemas.openxmlformats.org/officeDocument/2006/relationships/hyperlink" Target="https://www.youtube.com/watch?v=y1V4nCE5j2E" TargetMode="External"/><Relationship Id="rId4" Type="http://schemas.openxmlformats.org/officeDocument/2006/relationships/hyperlink" Target="https://www.youtube.com/watch?v=bGxg6TUmXos&amp;t=470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E54E-05E6-4909-9E07-A31F20F5E2BD}">
  <sheetPr codeName="Sheet5"/>
  <dimension ref="A1:B12"/>
  <sheetViews>
    <sheetView tabSelected="1" workbookViewId="0">
      <selection activeCell="B25" sqref="B25"/>
    </sheetView>
  </sheetViews>
  <sheetFormatPr defaultRowHeight="14.5" x14ac:dyDescent="0.35"/>
  <cols>
    <col min="1" max="1" width="19.81640625" customWidth="1"/>
    <col min="2" max="2" width="18.1796875" customWidth="1"/>
  </cols>
  <sheetData>
    <row r="1" spans="1:2" ht="15" thickBot="1" x14ac:dyDescent="0.4">
      <c r="A1" s="11" t="s">
        <v>128</v>
      </c>
      <c r="B1" s="12" t="s">
        <v>129</v>
      </c>
    </row>
    <row r="2" spans="1:2" ht="15" thickTop="1" x14ac:dyDescent="0.35">
      <c r="A2" s="9" t="s">
        <v>124</v>
      </c>
      <c r="B2" s="13" t="s">
        <v>127</v>
      </c>
    </row>
    <row r="3" spans="1:2" x14ac:dyDescent="0.35">
      <c r="A3" s="9" t="s">
        <v>125</v>
      </c>
      <c r="B3" s="13" t="s">
        <v>126</v>
      </c>
    </row>
    <row r="4" spans="1:2" x14ac:dyDescent="0.35">
      <c r="A4" s="10"/>
    </row>
    <row r="11" spans="1:2" ht="15" thickBot="1" x14ac:dyDescent="0.4">
      <c r="A11" s="8" t="s">
        <v>130</v>
      </c>
    </row>
    <row r="12" spans="1:2" x14ac:dyDescent="0.35">
      <c r="A12" t="s">
        <v>126</v>
      </c>
    </row>
  </sheetData>
  <dataValidations count="1">
    <dataValidation type="list" allowBlank="1" showInputMessage="1" showErrorMessage="1" sqref="B3" xr:uid="{F064A80B-991E-4D16-8F48-A613CCD73D7C}">
      <formula1>$A$12:$A$31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DownloadProgram">
                <anchor moveWithCells="1" sizeWithCells="1">
                  <from>
                    <xdr:col>3</xdr:col>
                    <xdr:colOff>488950</xdr:colOff>
                    <xdr:row>3</xdr:row>
                    <xdr:rowOff>127000</xdr:rowOff>
                  </from>
                  <to>
                    <xdr:col>8</xdr:col>
                    <xdr:colOff>0</xdr:colOff>
                    <xdr:row>7</xdr:row>
                    <xdr:rowOff>101600</xdr:rowOff>
                  </to>
                </anchor>
              </controlPr>
            </control>
          </mc:Choice>
        </mc:AlternateContent>
        <mc:AlternateContent xmlns:mc="http://schemas.openxmlformats.org/markup-compatibility/2006">
          <mc:Choice Requires="x14">
            <control shapeId="4100" r:id="rId5" name="Button 4">
              <controlPr defaultSize="0" print="0" autoFill="0" autoPict="0" macro="[0]!RunIngredientsUpdating">
                <anchor moveWithCells="1" sizeWithCells="1">
                  <from>
                    <xdr:col>3</xdr:col>
                    <xdr:colOff>514350</xdr:colOff>
                    <xdr:row>8</xdr:row>
                    <xdr:rowOff>139700</xdr:rowOff>
                  </from>
                  <to>
                    <xdr:col>7</xdr:col>
                    <xdr:colOff>590550</xdr:colOff>
                    <xdr:row>12</xdr:row>
                    <xdr:rowOff>120650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Y8"/>
  <sheetViews>
    <sheetView workbookViewId="0">
      <pane ySplit="1" topLeftCell="A2" activePane="bottomLeft" state="frozen"/>
      <selection pane="bottomLeft" activeCell="E4" sqref="E4"/>
    </sheetView>
  </sheetViews>
  <sheetFormatPr defaultColWidth="8.90625" defaultRowHeight="14.5" outlineLevelCol="1" x14ac:dyDescent="0.35"/>
  <cols>
    <col min="2" max="2" width="20.6328125" customWidth="1"/>
    <col min="4" max="4" width="39.36328125" customWidth="1"/>
    <col min="5" max="5" width="42.90625" style="1" customWidth="1"/>
    <col min="6" max="6" width="20.90625" style="1" customWidth="1"/>
    <col min="7" max="7" width="13.6328125" style="7" customWidth="1"/>
    <col min="8" max="8" width="8.90625" style="7"/>
    <col min="9" max="9" width="10.6328125" style="7" bestFit="1" customWidth="1"/>
    <col min="10" max="10" width="12.81640625" style="7" bestFit="1" customWidth="1"/>
    <col min="13" max="13" width="35.6328125" style="1" customWidth="1"/>
    <col min="14" max="14" width="5.1796875" customWidth="1" outlineLevel="1"/>
    <col min="15" max="16" width="6.54296875" customWidth="1" outlineLevel="1"/>
    <col min="17" max="17" width="7.6328125" customWidth="1" outlineLevel="1"/>
    <col min="18" max="18" width="7.36328125" customWidth="1" outlineLevel="1"/>
    <col min="19" max="19" width="5.08984375" customWidth="1" outlineLevel="1"/>
    <col min="20" max="20" width="12.81640625" customWidth="1" outlineLevel="1"/>
    <col min="21" max="104" width="8.90625" customWidth="1" outlineLevel="1"/>
    <col min="105" max="105" width="8.90625" customWidth="1" outlineLevel="1" collapsed="1"/>
    <col min="106" max="154" width="8.90625" customWidth="1" outlineLevel="1"/>
  </cols>
  <sheetData>
    <row r="1" spans="1:155" x14ac:dyDescent="0.35">
      <c r="A1" t="s">
        <v>0</v>
      </c>
      <c r="B1" t="s">
        <v>112</v>
      </c>
      <c r="C1" t="s">
        <v>1</v>
      </c>
      <c r="D1" t="s">
        <v>113</v>
      </c>
      <c r="E1" s="1" t="s">
        <v>114</v>
      </c>
      <c r="F1" s="1" t="s">
        <v>115</v>
      </c>
      <c r="G1" t="s">
        <v>108</v>
      </c>
      <c r="H1" t="s">
        <v>2</v>
      </c>
      <c r="I1" t="s">
        <v>109</v>
      </c>
      <c r="J1" t="s">
        <v>3</v>
      </c>
      <c r="K1" t="s">
        <v>116</v>
      </c>
      <c r="L1" t="s">
        <v>117</v>
      </c>
      <c r="M1" s="1" t="s">
        <v>118</v>
      </c>
      <c r="N1" t="s">
        <v>119</v>
      </c>
      <c r="O1" t="s">
        <v>120</v>
      </c>
      <c r="P1" t="s">
        <v>115</v>
      </c>
      <c r="Q1" t="s">
        <v>108</v>
      </c>
      <c r="R1" t="s">
        <v>2</v>
      </c>
      <c r="S1" t="s">
        <v>109</v>
      </c>
      <c r="T1" t="s">
        <v>3</v>
      </c>
      <c r="U1" t="s">
        <v>119</v>
      </c>
      <c r="V1" t="s">
        <v>120</v>
      </c>
      <c r="W1" t="s">
        <v>115</v>
      </c>
      <c r="X1" t="s">
        <v>108</v>
      </c>
      <c r="Y1" t="s">
        <v>2</v>
      </c>
      <c r="Z1" t="s">
        <v>109</v>
      </c>
      <c r="AA1" t="s">
        <v>3</v>
      </c>
      <c r="AB1" t="s">
        <v>119</v>
      </c>
      <c r="AC1" t="s">
        <v>120</v>
      </c>
      <c r="AD1" t="s">
        <v>115</v>
      </c>
      <c r="AE1" t="s">
        <v>108</v>
      </c>
      <c r="AF1" t="s">
        <v>2</v>
      </c>
      <c r="AG1" t="s">
        <v>109</v>
      </c>
      <c r="AH1" t="s">
        <v>3</v>
      </c>
      <c r="AI1" t="s">
        <v>119</v>
      </c>
      <c r="AJ1" t="s">
        <v>120</v>
      </c>
      <c r="AK1" t="s">
        <v>115</v>
      </c>
      <c r="AL1" t="s">
        <v>108</v>
      </c>
      <c r="AM1" t="s">
        <v>2</v>
      </c>
      <c r="AN1" t="s">
        <v>109</v>
      </c>
      <c r="AO1" t="s">
        <v>3</v>
      </c>
      <c r="AP1" t="s">
        <v>119</v>
      </c>
      <c r="AQ1" t="s">
        <v>120</v>
      </c>
      <c r="AR1" t="s">
        <v>115</v>
      </c>
      <c r="AS1" t="s">
        <v>108</v>
      </c>
      <c r="AT1" t="s">
        <v>2</v>
      </c>
      <c r="AU1" t="s">
        <v>109</v>
      </c>
      <c r="AV1" t="s">
        <v>3</v>
      </c>
      <c r="AW1" t="s">
        <v>119</v>
      </c>
      <c r="AX1" t="s">
        <v>120</v>
      </c>
      <c r="AY1" t="s">
        <v>115</v>
      </c>
      <c r="AZ1" t="s">
        <v>108</v>
      </c>
      <c r="BA1" t="s">
        <v>2</v>
      </c>
      <c r="BB1" t="s">
        <v>109</v>
      </c>
      <c r="BC1" t="s">
        <v>3</v>
      </c>
      <c r="BD1" t="s">
        <v>119</v>
      </c>
      <c r="BE1" t="s">
        <v>120</v>
      </c>
      <c r="BF1" t="s">
        <v>115</v>
      </c>
      <c r="BG1" t="s">
        <v>108</v>
      </c>
      <c r="BH1" t="s">
        <v>2</v>
      </c>
      <c r="BI1" t="s">
        <v>109</v>
      </c>
      <c r="BJ1" t="s">
        <v>3</v>
      </c>
      <c r="BK1" t="s">
        <v>119</v>
      </c>
      <c r="BL1" t="s">
        <v>120</v>
      </c>
      <c r="BM1" t="s">
        <v>115</v>
      </c>
      <c r="BN1" t="s">
        <v>108</v>
      </c>
      <c r="BO1" t="s">
        <v>2</v>
      </c>
      <c r="BP1" t="s">
        <v>109</v>
      </c>
      <c r="BQ1" t="s">
        <v>3</v>
      </c>
      <c r="BR1" t="s">
        <v>119</v>
      </c>
      <c r="BS1" t="s">
        <v>120</v>
      </c>
      <c r="BT1" t="s">
        <v>115</v>
      </c>
      <c r="BU1" t="s">
        <v>108</v>
      </c>
      <c r="BV1" t="s">
        <v>2</v>
      </c>
      <c r="BW1" t="s">
        <v>109</v>
      </c>
      <c r="BX1" t="s">
        <v>3</v>
      </c>
      <c r="BY1" t="s">
        <v>119</v>
      </c>
      <c r="BZ1" t="s">
        <v>120</v>
      </c>
      <c r="CA1" t="s">
        <v>115</v>
      </c>
      <c r="CB1" t="s">
        <v>108</v>
      </c>
      <c r="CC1" t="s">
        <v>2</v>
      </c>
      <c r="CD1" t="s">
        <v>109</v>
      </c>
      <c r="CE1" t="s">
        <v>3</v>
      </c>
      <c r="CF1" t="s">
        <v>119</v>
      </c>
      <c r="CG1" t="s">
        <v>120</v>
      </c>
      <c r="CH1" t="s">
        <v>115</v>
      </c>
      <c r="CI1" t="s">
        <v>108</v>
      </c>
      <c r="CJ1" t="s">
        <v>2</v>
      </c>
      <c r="CK1" t="s">
        <v>109</v>
      </c>
      <c r="CL1" t="s">
        <v>3</v>
      </c>
      <c r="CM1" t="s">
        <v>119</v>
      </c>
      <c r="CN1" t="s">
        <v>120</v>
      </c>
      <c r="CO1" t="s">
        <v>115</v>
      </c>
      <c r="CP1" t="s">
        <v>108</v>
      </c>
      <c r="CQ1" t="s">
        <v>2</v>
      </c>
      <c r="CR1" t="s">
        <v>109</v>
      </c>
      <c r="CS1" t="s">
        <v>3</v>
      </c>
      <c r="CT1" t="s">
        <v>119</v>
      </c>
      <c r="CU1" t="s">
        <v>120</v>
      </c>
      <c r="CV1" t="s">
        <v>115</v>
      </c>
      <c r="CW1" t="s">
        <v>108</v>
      </c>
      <c r="CX1" t="s">
        <v>2</v>
      </c>
      <c r="CY1" t="s">
        <v>109</v>
      </c>
      <c r="CZ1" t="s">
        <v>3</v>
      </c>
      <c r="DA1" t="s">
        <v>119</v>
      </c>
      <c r="DB1" t="s">
        <v>120</v>
      </c>
      <c r="DC1" t="s">
        <v>115</v>
      </c>
      <c r="DD1" t="s">
        <v>108</v>
      </c>
      <c r="DE1" t="s">
        <v>2</v>
      </c>
      <c r="DF1" t="s">
        <v>109</v>
      </c>
      <c r="DG1" t="s">
        <v>3</v>
      </c>
      <c r="DH1" t="s">
        <v>119</v>
      </c>
      <c r="DI1" t="s">
        <v>120</v>
      </c>
      <c r="DJ1" t="s">
        <v>115</v>
      </c>
      <c r="DK1" t="s">
        <v>108</v>
      </c>
      <c r="DL1" t="s">
        <v>2</v>
      </c>
      <c r="DM1" t="s">
        <v>109</v>
      </c>
      <c r="DN1" t="s">
        <v>3</v>
      </c>
      <c r="DO1" t="s">
        <v>119</v>
      </c>
      <c r="DP1" t="s">
        <v>120</v>
      </c>
      <c r="DQ1" t="s">
        <v>115</v>
      </c>
      <c r="DR1" t="s">
        <v>108</v>
      </c>
      <c r="DS1" t="s">
        <v>2</v>
      </c>
      <c r="DT1" t="s">
        <v>109</v>
      </c>
      <c r="DU1" t="s">
        <v>3</v>
      </c>
      <c r="DV1" t="s">
        <v>119</v>
      </c>
      <c r="DW1" t="s">
        <v>120</v>
      </c>
      <c r="DX1" t="s">
        <v>115</v>
      </c>
      <c r="DY1" t="s">
        <v>108</v>
      </c>
      <c r="DZ1" t="s">
        <v>2</v>
      </c>
      <c r="EA1" t="s">
        <v>109</v>
      </c>
      <c r="EB1" t="s">
        <v>3</v>
      </c>
      <c r="EC1" t="s">
        <v>119</v>
      </c>
      <c r="ED1" t="s">
        <v>120</v>
      </c>
      <c r="EE1" t="s">
        <v>115</v>
      </c>
      <c r="EF1" t="s">
        <v>108</v>
      </c>
      <c r="EG1" t="s">
        <v>2</v>
      </c>
      <c r="EH1" t="s">
        <v>109</v>
      </c>
      <c r="EI1" t="s">
        <v>3</v>
      </c>
      <c r="EJ1" t="s">
        <v>119</v>
      </c>
      <c r="EK1" t="s">
        <v>120</v>
      </c>
      <c r="EL1" t="s">
        <v>115</v>
      </c>
      <c r="EM1" t="s">
        <v>108</v>
      </c>
      <c r="EN1" t="s">
        <v>2</v>
      </c>
      <c r="EO1" t="s">
        <v>109</v>
      </c>
      <c r="EP1" t="s">
        <v>3</v>
      </c>
      <c r="EQ1" t="s">
        <v>119</v>
      </c>
      <c r="ER1" t="s">
        <v>120</v>
      </c>
      <c r="ES1" t="s">
        <v>115</v>
      </c>
      <c r="ET1" t="s">
        <v>108</v>
      </c>
      <c r="EU1" t="s">
        <v>2</v>
      </c>
      <c r="EV1" t="s">
        <v>109</v>
      </c>
      <c r="EW1" t="s">
        <v>3</v>
      </c>
      <c r="EY1" t="s">
        <v>121</v>
      </c>
    </row>
    <row r="2" spans="1:155" ht="58" x14ac:dyDescent="0.35">
      <c r="A2">
        <v>1</v>
      </c>
      <c r="B2" t="s">
        <v>4</v>
      </c>
      <c r="C2" s="4" t="s">
        <v>5</v>
      </c>
      <c r="D2" s="2" t="s">
        <v>89</v>
      </c>
      <c r="E2" s="1" t="s">
        <v>6</v>
      </c>
      <c r="F2" s="1" t="s">
        <v>7</v>
      </c>
      <c r="G2" s="7" t="e">
        <f>SUM(Q2, X2, AE2, AL2, AS2, AZ2, BG2, BN2, BU2, CB2, CI2, CP2, CW2, DD2, DK2, DR2, DY2, EF2, EM2, ET2, FA2, FH2, FO2, FV2, GC2, GJ2, GQ2, GX2, HE2, HL2)</f>
        <v>#DIV/0!</v>
      </c>
      <c r="H2" s="7" t="e">
        <f>SUM(R2, Y2, AF2, AM2, AT2, BA2, BH2, BO2, BV2, CC2, CJ2, CQ2, CX2, DE2, DL2, DS2, DZ2, EG2, EN2, EU2, FB2, FI2, FP2, FW2, GD2, GK2, GR2, GY2, HF2, HM2)</f>
        <v>#DIV/0!</v>
      </c>
      <c r="I2" s="7" t="e">
        <f>SUM(S2, Z2, AG2, AN2, AU2, BB2, BI2, BP2, BW2, CD2, CK2, CR2, CY2, DF2, DM2, DT2, EA2, EH2, EO2, EV2, FC2, FJ2, FQ2, FX2, GE2, GL2, GS2, GZ2, HG2, HN2)</f>
        <v>#DIV/0!</v>
      </c>
      <c r="J2" s="7" t="e">
        <f>SUM(T2, AA2, AH2, AO2, AV2, BC2, BJ2, BQ2, BX2, CE2, CL2, CS2, CZ2, DG2, DN2, DU2, EB2, EI2, EP2, EW2, FD2, FK2, FR2, FY2, GF2, GM2, GT2, HA2, HH2, HO2)</f>
        <v>#DIV/0!</v>
      </c>
      <c r="K2" t="s">
        <v>8</v>
      </c>
      <c r="L2">
        <v>4</v>
      </c>
      <c r="M2" s="1" t="s">
        <v>9</v>
      </c>
      <c r="N2" t="s">
        <v>90</v>
      </c>
      <c r="O2">
        <v>30</v>
      </c>
      <c r="P2" t="s">
        <v>91</v>
      </c>
      <c r="Q2" t="e">
        <f>O2* VLOOKUP(N2,Ingredients!$A:$J,5,FALSE) / VLOOKUP(N2,Ingredients!$A:$J,10,FALSE)</f>
        <v>#DIV/0!</v>
      </c>
      <c r="R2" t="e">
        <f>O2* VLOOKUP(N2,Ingredients!$A:$J,6,FALSE) / VLOOKUP(N2,Ingredients!$A:$J,10,FALSE)</f>
        <v>#DIV/0!</v>
      </c>
      <c r="S2" t="e">
        <f>O2* VLOOKUP(N2,Ingredients!$A:$J,7,FALSE) / VLOOKUP(N2,Ingredients!$A:$J,10,FALSE)</f>
        <v>#DIV/0!</v>
      </c>
      <c r="T2" t="e">
        <f>O2* VLOOKUP(N2,Ingredients!$A:$J,8,FALSE) / VLOOKUP(N2,Ingredients!$A:$J,10,FALSE)</f>
        <v>#DIV/0!</v>
      </c>
      <c r="U2" t="s">
        <v>92</v>
      </c>
      <c r="V2">
        <v>7</v>
      </c>
      <c r="W2" t="s">
        <v>91</v>
      </c>
      <c r="X2" t="e">
        <f>V2* VLOOKUP(U2,Ingredients!$A:$J,5,FALSE) / VLOOKUP(U2,Ingredients!$A:$J,10,FALSE)</f>
        <v>#DIV/0!</v>
      </c>
      <c r="Y2" t="e">
        <f>V2* VLOOKUP(U2,Ingredients!$A:$J,6,FALSE) / VLOOKUP(U2,Ingredients!$A:$J,10,FALSE)</f>
        <v>#DIV/0!</v>
      </c>
      <c r="Z2" t="e">
        <f>V2* VLOOKUP(U2,Ingredients!$A:$J,7,FALSE) / VLOOKUP(U2,Ingredients!$A:$J,10,FALSE)</f>
        <v>#DIV/0!</v>
      </c>
      <c r="AA2" t="e">
        <f>V2* VLOOKUP(U2,Ingredients!$A:$J,8,FALSE) / VLOOKUP(U2,Ingredients!$A:$J,10,FALSE)</f>
        <v>#DIV/0!</v>
      </c>
      <c r="AB2" t="s">
        <v>93</v>
      </c>
      <c r="AC2">
        <v>4</v>
      </c>
      <c r="AD2" t="s">
        <v>91</v>
      </c>
      <c r="AE2" t="e">
        <f>AC2* VLOOKUP(AB2,Ingredients!$A:$J,5,FALSE) / VLOOKUP(AB2,Ingredients!$A:$J,10,FALSE)</f>
        <v>#DIV/0!</v>
      </c>
      <c r="AF2" t="e">
        <f>AC2* VLOOKUP(AB2,Ingredients!$A:$J,6,FALSE) / VLOOKUP(AB2,Ingredients!$A:$J,10,FALSE)</f>
        <v>#DIV/0!</v>
      </c>
      <c r="AG2" t="e">
        <f>AC2* VLOOKUP(AB2,Ingredients!$A:$J,7,FALSE) / VLOOKUP(AB2,Ingredients!$A:$J,10,FALSE)</f>
        <v>#DIV/0!</v>
      </c>
      <c r="AH2" t="e">
        <f>AC2* VLOOKUP(AB2,Ingredients!$A:$J,8,FALSE) / VLOOKUP(AB2,Ingredients!$A:$J,10,FALSE)</f>
        <v>#DIV/0!</v>
      </c>
      <c r="AI2" t="s">
        <v>94</v>
      </c>
      <c r="AJ2">
        <v>60</v>
      </c>
      <c r="AK2" t="s">
        <v>95</v>
      </c>
      <c r="AL2" t="e">
        <f>AJ2* VLOOKUP(AI2,Ingredients!$A:$J,5,FALSE) / VLOOKUP(AI2,Ingredients!$A:$J,10,FALSE)</f>
        <v>#DIV/0!</v>
      </c>
      <c r="AM2" t="e">
        <f>AJ2* VLOOKUP(AI2,Ingredients!$A:$J,6,FALSE) / VLOOKUP(AI2,Ingredients!$A:$J,10,FALSE)</f>
        <v>#DIV/0!</v>
      </c>
      <c r="AN2" t="e">
        <f>AJ2* VLOOKUP(AI2,Ingredients!$A:$J,7,FALSE) / VLOOKUP(AI2,Ingredients!$A:$J,10,FALSE)</f>
        <v>#DIV/0!</v>
      </c>
      <c r="AO2" t="e">
        <f>AJ2* VLOOKUP(AI2,Ingredients!$A:$J,8,FALSE) / VLOOKUP(AI2,Ingredients!$A:$J,10,FALSE)</f>
        <v>#DIV/0!</v>
      </c>
    </row>
    <row r="3" spans="1:155" ht="295.25" customHeight="1" x14ac:dyDescent="0.35">
      <c r="A3">
        <v>2</v>
      </c>
      <c r="B3" t="s">
        <v>10</v>
      </c>
      <c r="C3" s="4" t="s">
        <v>11</v>
      </c>
      <c r="D3" s="1" t="s">
        <v>99</v>
      </c>
      <c r="E3" s="1" t="s">
        <v>12</v>
      </c>
      <c r="G3" s="7" t="e">
        <f t="shared" ref="G3:G8" si="0">SUM(Q3, X3, AE3, AL3, AS3, AZ3, BG3, BN3, BU3, CB3, CI3, CP3, CW3, DD3, DK3, DR3, DY3, EF3, EM3, ET3, FA3, FH3, FO3, FV3, GC3, GJ3, GQ3, GX3, HE3, HL3)</f>
        <v>#DIV/0!</v>
      </c>
      <c r="H3" s="7" t="e">
        <f t="shared" ref="H3:H8" si="1">SUM(R3, Y3, AF3, AM3, AT3, BA3, BH3, BO3, BV3, CC3, CJ3, CQ3, CX3, DE3, DL3, DS3, DZ3, EG3, EN3, EU3, FB3, FI3, FP3, FW3, GD3, GK3, GR3, GY3, HF3, HM3)</f>
        <v>#DIV/0!</v>
      </c>
      <c r="I3" s="7" t="e">
        <f t="shared" ref="I3:I8" si="2">SUM(S3, Z3, AG3, AN3, AU3, BB3, BI3, BP3, BW3, CD3, CK3, CR3, CY3, DF3, DM3, DT3, EA3, EH3, EO3, EV3, FC3, FJ3, FQ3, FX3, GE3, GL3, GS3, GZ3, HG3, HN3)</f>
        <v>#DIV/0!</v>
      </c>
      <c r="J3" s="7" t="e">
        <f t="shared" ref="J3:J8" si="3">SUM(T3, AA3, AH3, AO3, AV3, BC3, BJ3, BQ3, BX3, CE3, CL3, CS3, CZ3, DG3, DN3, DU3, EB3, EI3, EP3, EW3, FD3, FK3, FR3, FY3, GF3, GM3, GT3, HA3, HH3, HO3)</f>
        <v>#DIV/0!</v>
      </c>
      <c r="K3" t="s">
        <v>8</v>
      </c>
      <c r="L3">
        <v>8</v>
      </c>
      <c r="M3" s="1" t="s">
        <v>13</v>
      </c>
      <c r="N3" t="s">
        <v>96</v>
      </c>
      <c r="O3">
        <v>80</v>
      </c>
      <c r="P3" t="s">
        <v>91</v>
      </c>
      <c r="Q3" t="e">
        <f>O3* VLOOKUP(N3,Ingredients!$A:$J,5,FALSE) / VLOOKUP(N3,Ingredients!$A:$J,10,FALSE)</f>
        <v>#DIV/0!</v>
      </c>
      <c r="R3" t="e">
        <f>O3* VLOOKUP(N3,Ingredients!$A:$J,6,FALSE) / VLOOKUP(N3,Ingredients!$A:$J,10,FALSE)</f>
        <v>#DIV/0!</v>
      </c>
      <c r="S3" t="e">
        <f>O3* VLOOKUP(N3,Ingredients!$A:$J,7,FALSE) / VLOOKUP(N3,Ingredients!$A:$J,10,FALSE)</f>
        <v>#DIV/0!</v>
      </c>
      <c r="T3" t="e">
        <f>O3* VLOOKUP(N3,Ingredients!$A:$J,8,FALSE) / VLOOKUP(N3,Ingredients!$A:$J,10,FALSE)</f>
        <v>#DIV/0!</v>
      </c>
      <c r="U3" t="s">
        <v>97</v>
      </c>
      <c r="V3">
        <v>20</v>
      </c>
      <c r="W3" t="s">
        <v>91</v>
      </c>
      <c r="X3" t="e">
        <f>V3* VLOOKUP(U3,Ingredients!$A:$J,5,FALSE) / VLOOKUP(U3,Ingredients!$A:$J,10,FALSE)</f>
        <v>#DIV/0!</v>
      </c>
      <c r="Y3" t="e">
        <f>V3* VLOOKUP(U3,Ingredients!$A:$J,6,FALSE) / VLOOKUP(U3,Ingredients!$A:$J,10,FALSE)</f>
        <v>#DIV/0!</v>
      </c>
      <c r="Z3" t="e">
        <f>V3* VLOOKUP(U3,Ingredients!$A:$J,7,FALSE) / VLOOKUP(U3,Ingredients!$A:$J,10,FALSE)</f>
        <v>#DIV/0!</v>
      </c>
      <c r="AA3" t="e">
        <f>V3* VLOOKUP(U3,Ingredients!$A:$J,8,FALSE) / VLOOKUP(U3,Ingredients!$A:$J,10,FALSE)</f>
        <v>#DIV/0!</v>
      </c>
      <c r="AB3" t="s">
        <v>98</v>
      </c>
      <c r="AC3">
        <v>20</v>
      </c>
      <c r="AD3" t="s">
        <v>91</v>
      </c>
      <c r="AE3" t="e">
        <f>AC3* VLOOKUP(AB3,Ingredients!$A:$J,5,FALSE) / VLOOKUP(AB3,Ingredients!$A:$J,10,FALSE)</f>
        <v>#DIV/0!</v>
      </c>
      <c r="AF3" t="e">
        <f>AC3* VLOOKUP(AB3,Ingredients!$A:$J,6,FALSE) / VLOOKUP(AB3,Ingredients!$A:$J,10,FALSE)</f>
        <v>#DIV/0!</v>
      </c>
      <c r="AG3" t="e">
        <f>AC3* VLOOKUP(AB3,Ingredients!$A:$J,7,FALSE) / VLOOKUP(AB3,Ingredients!$A:$J,10,FALSE)</f>
        <v>#DIV/0!</v>
      </c>
      <c r="AH3" t="e">
        <f>AC3* VLOOKUP(AB3,Ingredients!$A:$J,8,FALSE) / VLOOKUP(AB3,Ingredients!$A:$J,10,FALSE)</f>
        <v>#DIV/0!</v>
      </c>
      <c r="AI3" t="s">
        <v>100</v>
      </c>
      <c r="AJ3">
        <v>45</v>
      </c>
      <c r="AK3" t="s">
        <v>91</v>
      </c>
      <c r="AL3" t="e">
        <f>AJ3* VLOOKUP(AI3,Ingredients!$A:$J,5,FALSE) / VLOOKUP(AI3,Ingredients!$A:$J,10,FALSE)</f>
        <v>#DIV/0!</v>
      </c>
      <c r="AM3" t="e">
        <f>AJ3* VLOOKUP(AI3,Ingredients!$A:$J,6,FALSE) / VLOOKUP(AI3,Ingredients!$A:$J,10,FALSE)</f>
        <v>#DIV/0!</v>
      </c>
      <c r="AN3" t="e">
        <f>AJ3* VLOOKUP(AI3,Ingredients!$A:$J,7,FALSE) / VLOOKUP(AI3,Ingredients!$A:$J,10,FALSE)</f>
        <v>#DIV/0!</v>
      </c>
      <c r="AO3" t="e">
        <f>AJ3* VLOOKUP(AI3,Ingredients!$A:$J,8,FALSE) / VLOOKUP(AI3,Ingredients!$A:$J,10,FALSE)</f>
        <v>#DIV/0!</v>
      </c>
      <c r="AP3" t="s">
        <v>101</v>
      </c>
      <c r="AQ3">
        <v>20</v>
      </c>
      <c r="AR3" t="s">
        <v>91</v>
      </c>
      <c r="AS3" t="e">
        <f>AQ3* VLOOKUP(AP3,Ingredients!$A:$J,5,FALSE) / VLOOKUP(AP3,Ingredients!$A:$J,10,FALSE)</f>
        <v>#DIV/0!</v>
      </c>
      <c r="AT3" t="e">
        <f>AQ3* VLOOKUP(AP3,Ingredients!$A:$J,6,FALSE) / VLOOKUP(AP3,Ingredients!$A:$J,10,FALSE)</f>
        <v>#DIV/0!</v>
      </c>
      <c r="AU3" t="e">
        <f>AQ3* VLOOKUP(AP3,Ingredients!$A:$J,7,FALSE) / VLOOKUP(AP3,Ingredients!$A:$J,10,FALSE)</f>
        <v>#DIV/0!</v>
      </c>
      <c r="AV3" t="e">
        <f>AQ3* VLOOKUP(AP3,Ingredients!$A:$J,8,FALSE) / VLOOKUP(AP3,Ingredients!$A:$J,10,FALSE)</f>
        <v>#DIV/0!</v>
      </c>
      <c r="AW3" t="s">
        <v>102</v>
      </c>
      <c r="AX3">
        <v>40</v>
      </c>
      <c r="AY3" t="s">
        <v>95</v>
      </c>
      <c r="AZ3" t="e">
        <f>AX3* VLOOKUP(AW3,Ingredients!$A:$J,5,FALSE) / VLOOKUP(AW3,Ingredients!$A:$J,10,FALSE)</f>
        <v>#DIV/0!</v>
      </c>
      <c r="BA3" t="e">
        <f>AX3* VLOOKUP(AW3,Ingredients!$A:$J,6,FALSE) / VLOOKUP(AW3,Ingredients!$A:$J,10,FALSE)</f>
        <v>#DIV/0!</v>
      </c>
      <c r="BB3" t="e">
        <f>AX3* VLOOKUP(AW3,Ingredients!$A:$J,7,FALSE) / VLOOKUP(AW3,Ingredients!$A:$J,10,FALSE)</f>
        <v>#DIV/0!</v>
      </c>
      <c r="BC3" t="e">
        <f>AX3* VLOOKUP(AW3,Ingredients!$A:$J,8,FALSE) / VLOOKUP(AW3,Ingredients!$A:$J,10,FALSE)</f>
        <v>#DIV/0!</v>
      </c>
      <c r="BD3" t="s">
        <v>103</v>
      </c>
      <c r="BE3">
        <v>200</v>
      </c>
      <c r="BF3" t="s">
        <v>91</v>
      </c>
      <c r="BG3" t="e">
        <f>BE3* VLOOKUP(BD3,Ingredients!$A:$J,5,FALSE) / VLOOKUP(BD3,Ingredients!$A:$J,10,FALSE)</f>
        <v>#DIV/0!</v>
      </c>
      <c r="BH3" t="e">
        <f>BE3* VLOOKUP(BD3,Ingredients!$A:$J,6,FALSE) / VLOOKUP(BD3,Ingredients!$A:$J,10,FALSE)</f>
        <v>#DIV/0!</v>
      </c>
      <c r="BI3" t="e">
        <f>BE3* VLOOKUP(BD3,Ingredients!$A:$J,7,FALSE) / VLOOKUP(BD3,Ingredients!$A:$J,10,FALSE)</f>
        <v>#DIV/0!</v>
      </c>
      <c r="BJ3" t="e">
        <f>BE3* VLOOKUP(BD3,Ingredients!$A:$J,8,FALSE) / VLOOKUP(BD3,Ingredients!$A:$J,10,FALSE)</f>
        <v>#DIV/0!</v>
      </c>
      <c r="BK3" t="s">
        <v>104</v>
      </c>
      <c r="BL3">
        <v>128</v>
      </c>
      <c r="BM3" t="s">
        <v>91</v>
      </c>
      <c r="BN3" t="e">
        <f>BL3* VLOOKUP(BK3,Ingredients!$A:$J,5,FALSE) / VLOOKUP(BK3,Ingredients!$A:$J,10,FALSE)</f>
        <v>#DIV/0!</v>
      </c>
      <c r="BO3" t="e">
        <f>BL3* VLOOKUP(BK3,Ingredients!$A:$J,6,FALSE) / VLOOKUP(BK3,Ingredients!$A:$J,10,FALSE)</f>
        <v>#DIV/0!</v>
      </c>
      <c r="BP3" t="e">
        <f>BL3* VLOOKUP(BK3,Ingredients!$A:$J,7,FALSE) / VLOOKUP(BK3,Ingredients!$A:$J,10,FALSE)</f>
        <v>#DIV/0!</v>
      </c>
      <c r="BQ3" t="e">
        <f>BL3* VLOOKUP(BK3,Ingredients!$A:$J,8,FALSE) / VLOOKUP(BK3,Ingredients!$A:$J,10,FALSE)</f>
        <v>#DIV/0!</v>
      </c>
      <c r="BR3" t="s">
        <v>105</v>
      </c>
      <c r="BS3">
        <v>4</v>
      </c>
      <c r="BT3" t="s">
        <v>91</v>
      </c>
      <c r="BU3" t="e">
        <f>BS3* VLOOKUP(BR3,Ingredients!$A:$J,5,FALSE) / VLOOKUP(BR3,Ingredients!$A:$J,10,FALSE)</f>
        <v>#DIV/0!</v>
      </c>
      <c r="BV3" t="e">
        <f>BS3* VLOOKUP(BR3,Ingredients!$A:$J,6,FALSE) / VLOOKUP(BR3,Ingredients!$A:$J,10,FALSE)</f>
        <v>#DIV/0!</v>
      </c>
      <c r="BW3" t="e">
        <f>BS3* VLOOKUP(BR3,Ingredients!$A:$J,7,FALSE) / VLOOKUP(BR3,Ingredients!$A:$J,10,FALSE)</f>
        <v>#DIV/0!</v>
      </c>
      <c r="BX3" t="e">
        <f>BS3* VLOOKUP(BR3,Ingredients!$A:$J,8,FALSE) / VLOOKUP(BR3,Ingredients!$A:$J,10,FALSE)</f>
        <v>#DIV/0!</v>
      </c>
      <c r="BY3" t="s">
        <v>106</v>
      </c>
      <c r="BZ3">
        <v>3</v>
      </c>
      <c r="CA3" t="s">
        <v>91</v>
      </c>
      <c r="CB3" t="e">
        <f>BZ3* VLOOKUP(BY3,Ingredients!$A:$J,5,FALSE) / VLOOKUP(BY3,Ingredients!$A:$J,10,FALSE)</f>
        <v>#DIV/0!</v>
      </c>
      <c r="CC3" t="e">
        <f>BZ3* VLOOKUP(BY3,Ingredients!$A:$J,6,FALSE) / VLOOKUP(BY3,Ingredients!$A:$J,10,FALSE)</f>
        <v>#DIV/0!</v>
      </c>
      <c r="CD3" t="e">
        <f>BZ3* VLOOKUP(BY3,Ingredients!$A:$J,7,FALSE) / VLOOKUP(BY3,Ingredients!$A:$J,10,FALSE)</f>
        <v>#DIV/0!</v>
      </c>
      <c r="CE3" t="e">
        <f>BZ3* VLOOKUP(BY3,Ingredients!$A:$J,8,FALSE) / VLOOKUP(BY3,Ingredients!$A:$J,10,FALSE)</f>
        <v>#DIV/0!</v>
      </c>
      <c r="CF3" t="s">
        <v>93</v>
      </c>
      <c r="CG3">
        <v>7</v>
      </c>
      <c r="CH3" t="s">
        <v>91</v>
      </c>
      <c r="CI3" t="e">
        <f>CG3* VLOOKUP(CF3,Ingredients!$A:$J,5,FALSE) / VLOOKUP(CF3,Ingredients!$A:$J,10,FALSE)</f>
        <v>#DIV/0!</v>
      </c>
      <c r="CJ3" t="e">
        <f>CG3* VLOOKUP(CF3,Ingredients!$A:$J,6,FALSE) / VLOOKUP(CF3,Ingredients!$A:$J,10,FALSE)</f>
        <v>#DIV/0!</v>
      </c>
      <c r="CK3" t="e">
        <f>CG3* VLOOKUP(CF3,Ingredients!$A:$J,7,FALSE) / VLOOKUP(CF3,Ingredients!$A:$J,10,FALSE)</f>
        <v>#DIV/0!</v>
      </c>
      <c r="CL3" t="e">
        <f>CG3* VLOOKUP(CF3,Ingredients!$A:$J,8,FALSE) / VLOOKUP(CF3,Ingredients!$A:$J,10,FALSE)</f>
        <v>#DIV/0!</v>
      </c>
    </row>
    <row r="4" spans="1:155" ht="72.5" x14ac:dyDescent="0.35">
      <c r="A4">
        <v>3</v>
      </c>
      <c r="B4" t="s">
        <v>14</v>
      </c>
      <c r="C4" s="4" t="s">
        <v>15</v>
      </c>
      <c r="D4" s="2" t="s">
        <v>16</v>
      </c>
      <c r="E4" s="2" t="s">
        <v>17</v>
      </c>
      <c r="F4" s="2"/>
      <c r="G4" s="7">
        <f t="shared" si="0"/>
        <v>0</v>
      </c>
      <c r="H4" s="7">
        <f t="shared" si="1"/>
        <v>0</v>
      </c>
      <c r="I4" s="7">
        <f t="shared" si="2"/>
        <v>0</v>
      </c>
      <c r="J4" s="7">
        <f t="shared" si="3"/>
        <v>0</v>
      </c>
      <c r="L4">
        <v>8</v>
      </c>
      <c r="M4" s="1" t="s">
        <v>18</v>
      </c>
    </row>
    <row r="5" spans="1:155" ht="232" x14ac:dyDescent="0.35">
      <c r="A5">
        <v>4</v>
      </c>
      <c r="B5" t="s">
        <v>19</v>
      </c>
      <c r="C5" s="4" t="s">
        <v>20</v>
      </c>
      <c r="D5" s="2" t="s">
        <v>21</v>
      </c>
      <c r="E5" s="1" t="s">
        <v>22</v>
      </c>
      <c r="F5" s="1" t="s">
        <v>7</v>
      </c>
      <c r="G5" s="7">
        <f t="shared" si="0"/>
        <v>0</v>
      </c>
      <c r="H5" s="7">
        <f t="shared" si="1"/>
        <v>0</v>
      </c>
      <c r="I5" s="7">
        <f t="shared" si="2"/>
        <v>0</v>
      </c>
      <c r="J5" s="7">
        <f t="shared" si="3"/>
        <v>0</v>
      </c>
    </row>
    <row r="6" spans="1:155" ht="275.5" x14ac:dyDescent="0.35">
      <c r="A6">
        <v>5</v>
      </c>
      <c r="B6" t="s">
        <v>23</v>
      </c>
      <c r="C6" s="4" t="s">
        <v>24</v>
      </c>
      <c r="D6" s="2" t="s">
        <v>25</v>
      </c>
      <c r="E6" s="1" t="s">
        <v>26</v>
      </c>
      <c r="F6" s="1" t="s">
        <v>7</v>
      </c>
      <c r="G6" s="7">
        <f t="shared" si="0"/>
        <v>0</v>
      </c>
      <c r="H6" s="7">
        <f t="shared" si="1"/>
        <v>0</v>
      </c>
      <c r="I6" s="7">
        <f t="shared" si="2"/>
        <v>0</v>
      </c>
      <c r="J6" s="7">
        <f t="shared" si="3"/>
        <v>0</v>
      </c>
    </row>
    <row r="7" spans="1:155" ht="72.5" x14ac:dyDescent="0.35">
      <c r="A7">
        <v>6</v>
      </c>
      <c r="B7" t="s">
        <v>27</v>
      </c>
      <c r="C7" s="4" t="s">
        <v>28</v>
      </c>
      <c r="D7" s="2" t="s">
        <v>29</v>
      </c>
      <c r="E7" s="1" t="s">
        <v>30</v>
      </c>
      <c r="G7" s="7">
        <f t="shared" si="0"/>
        <v>0</v>
      </c>
      <c r="H7" s="7">
        <f t="shared" si="1"/>
        <v>0</v>
      </c>
      <c r="I7" s="7">
        <f t="shared" si="2"/>
        <v>0</v>
      </c>
      <c r="J7" s="7">
        <f t="shared" si="3"/>
        <v>0</v>
      </c>
    </row>
    <row r="8" spans="1:155" x14ac:dyDescent="0.35">
      <c r="A8">
        <v>7</v>
      </c>
      <c r="B8" t="s">
        <v>31</v>
      </c>
      <c r="C8" t="s">
        <v>32</v>
      </c>
      <c r="G8" s="7">
        <f t="shared" si="0"/>
        <v>0</v>
      </c>
      <c r="H8" s="7">
        <f t="shared" si="1"/>
        <v>0</v>
      </c>
      <c r="I8" s="7">
        <f t="shared" si="2"/>
        <v>0</v>
      </c>
      <c r="J8" s="7">
        <f t="shared" si="3"/>
        <v>0</v>
      </c>
    </row>
  </sheetData>
  <hyperlinks>
    <hyperlink ref="C2" r:id="rId1" xr:uid="{891AF2B6-B860-48FD-9431-528A1AA7451D}"/>
    <hyperlink ref="C6" r:id="rId2" xr:uid="{A38B6749-8891-440F-99E6-6BBEB818793B}"/>
    <hyperlink ref="C4" r:id="rId3" xr:uid="{5D391CE6-3F97-472C-828B-1AB5F831FDF8}"/>
    <hyperlink ref="C3" r:id="rId4" xr:uid="{4EAE7E8D-35E3-4C99-86B0-3639BCCCD221}"/>
    <hyperlink ref="C5" r:id="rId5" xr:uid="{552B7CD5-349B-42E5-A536-955C6C522A34}"/>
    <hyperlink ref="C7" r:id="rId6" xr:uid="{326371C4-584A-421A-BD14-F1726C19FF92}"/>
  </hyperlinks>
  <pageMargins left="0.7" right="0.7" top="0.75" bottom="0.75" header="0.3" footer="0.3"/>
  <legacyDrawing r:id="rId7"/>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1569D-D964-4281-83DB-03B1A1680344}">
  <sheetPr codeName="Sheet2"/>
  <dimension ref="A1:EY13"/>
  <sheetViews>
    <sheetView workbookViewId="0">
      <pane ySplit="1" topLeftCell="A2" activePane="bottomLeft" state="frozen"/>
      <selection pane="bottomLeft" activeCell="D2" sqref="D2"/>
    </sheetView>
  </sheetViews>
  <sheetFormatPr defaultColWidth="10.90625" defaultRowHeight="14.5" outlineLevelCol="1" x14ac:dyDescent="0.35"/>
  <cols>
    <col min="2" max="2" width="25.08984375" customWidth="1"/>
    <col min="4" max="4" width="51.36328125" style="6" customWidth="1"/>
    <col min="5" max="5" width="28.54296875" style="6" customWidth="1"/>
    <col min="6" max="6" width="28.54296875" customWidth="1"/>
    <col min="14" max="154" width="10.90625" customWidth="1" outlineLevel="1"/>
  </cols>
  <sheetData>
    <row r="1" spans="1:155" x14ac:dyDescent="0.35">
      <c r="A1" t="s">
        <v>0</v>
      </c>
      <c r="B1" t="s">
        <v>112</v>
      </c>
      <c r="C1" t="s">
        <v>1</v>
      </c>
      <c r="D1" t="s">
        <v>113</v>
      </c>
      <c r="E1" s="1" t="s">
        <v>114</v>
      </c>
      <c r="F1" s="1" t="s">
        <v>115</v>
      </c>
      <c r="G1" t="s">
        <v>108</v>
      </c>
      <c r="H1" t="s">
        <v>2</v>
      </c>
      <c r="I1" t="s">
        <v>109</v>
      </c>
      <c r="J1" t="s">
        <v>3</v>
      </c>
      <c r="K1" t="s">
        <v>116</v>
      </c>
      <c r="L1" t="s">
        <v>117</v>
      </c>
      <c r="M1" s="1" t="s">
        <v>118</v>
      </c>
      <c r="N1" t="s">
        <v>119</v>
      </c>
      <c r="O1" t="s">
        <v>120</v>
      </c>
      <c r="P1" t="s">
        <v>115</v>
      </c>
      <c r="Q1" t="s">
        <v>108</v>
      </c>
      <c r="R1" t="s">
        <v>2</v>
      </c>
      <c r="S1" t="s">
        <v>109</v>
      </c>
      <c r="T1" t="s">
        <v>3</v>
      </c>
      <c r="U1" t="s">
        <v>119</v>
      </c>
      <c r="V1" t="s">
        <v>120</v>
      </c>
      <c r="W1" t="s">
        <v>115</v>
      </c>
      <c r="X1" t="s">
        <v>108</v>
      </c>
      <c r="Y1" t="s">
        <v>2</v>
      </c>
      <c r="Z1" t="s">
        <v>109</v>
      </c>
      <c r="AA1" t="s">
        <v>3</v>
      </c>
      <c r="AB1" t="s">
        <v>119</v>
      </c>
      <c r="AC1" t="s">
        <v>120</v>
      </c>
      <c r="AD1" t="s">
        <v>115</v>
      </c>
      <c r="AE1" t="s">
        <v>108</v>
      </c>
      <c r="AF1" t="s">
        <v>2</v>
      </c>
      <c r="AG1" t="s">
        <v>109</v>
      </c>
      <c r="AH1" t="s">
        <v>3</v>
      </c>
      <c r="AI1" t="s">
        <v>119</v>
      </c>
      <c r="AJ1" t="s">
        <v>120</v>
      </c>
      <c r="AK1" t="s">
        <v>115</v>
      </c>
      <c r="AL1" t="s">
        <v>108</v>
      </c>
      <c r="AM1" t="s">
        <v>2</v>
      </c>
      <c r="AN1" t="s">
        <v>109</v>
      </c>
      <c r="AO1" t="s">
        <v>3</v>
      </c>
      <c r="AP1" t="s">
        <v>119</v>
      </c>
      <c r="AQ1" t="s">
        <v>120</v>
      </c>
      <c r="AR1" t="s">
        <v>115</v>
      </c>
      <c r="AS1" t="s">
        <v>108</v>
      </c>
      <c r="AT1" t="s">
        <v>2</v>
      </c>
      <c r="AU1" t="s">
        <v>109</v>
      </c>
      <c r="AV1" t="s">
        <v>3</v>
      </c>
      <c r="AW1" t="s">
        <v>119</v>
      </c>
      <c r="AX1" t="s">
        <v>120</v>
      </c>
      <c r="AY1" t="s">
        <v>115</v>
      </c>
      <c r="AZ1" t="s">
        <v>108</v>
      </c>
      <c r="BA1" t="s">
        <v>2</v>
      </c>
      <c r="BB1" t="s">
        <v>109</v>
      </c>
      <c r="BC1" t="s">
        <v>3</v>
      </c>
      <c r="BD1" t="s">
        <v>119</v>
      </c>
      <c r="BE1" t="s">
        <v>120</v>
      </c>
      <c r="BF1" t="s">
        <v>115</v>
      </c>
      <c r="BG1" t="s">
        <v>108</v>
      </c>
      <c r="BH1" t="s">
        <v>2</v>
      </c>
      <c r="BI1" t="s">
        <v>109</v>
      </c>
      <c r="BJ1" t="s">
        <v>3</v>
      </c>
      <c r="BK1" t="s">
        <v>119</v>
      </c>
      <c r="BL1" t="s">
        <v>120</v>
      </c>
      <c r="BM1" t="s">
        <v>115</v>
      </c>
      <c r="BN1" t="s">
        <v>108</v>
      </c>
      <c r="BO1" t="s">
        <v>2</v>
      </c>
      <c r="BP1" t="s">
        <v>109</v>
      </c>
      <c r="BQ1" t="s">
        <v>3</v>
      </c>
      <c r="BR1" t="s">
        <v>119</v>
      </c>
      <c r="BS1" t="s">
        <v>120</v>
      </c>
      <c r="BT1" t="s">
        <v>115</v>
      </c>
      <c r="BU1" t="s">
        <v>108</v>
      </c>
      <c r="BV1" t="s">
        <v>2</v>
      </c>
      <c r="BW1" t="s">
        <v>109</v>
      </c>
      <c r="BX1" t="s">
        <v>3</v>
      </c>
      <c r="BY1" t="s">
        <v>119</v>
      </c>
      <c r="BZ1" t="s">
        <v>120</v>
      </c>
      <c r="CA1" t="s">
        <v>115</v>
      </c>
      <c r="CB1" t="s">
        <v>108</v>
      </c>
      <c r="CC1" t="s">
        <v>2</v>
      </c>
      <c r="CD1" t="s">
        <v>109</v>
      </c>
      <c r="CE1" t="s">
        <v>3</v>
      </c>
      <c r="CF1" t="s">
        <v>119</v>
      </c>
      <c r="CG1" t="s">
        <v>120</v>
      </c>
      <c r="CH1" t="s">
        <v>115</v>
      </c>
      <c r="CI1" t="s">
        <v>108</v>
      </c>
      <c r="CJ1" t="s">
        <v>2</v>
      </c>
      <c r="CK1" t="s">
        <v>109</v>
      </c>
      <c r="CL1" t="s">
        <v>3</v>
      </c>
      <c r="CM1" t="s">
        <v>119</v>
      </c>
      <c r="CN1" t="s">
        <v>120</v>
      </c>
      <c r="CO1" t="s">
        <v>115</v>
      </c>
      <c r="CP1" t="s">
        <v>108</v>
      </c>
      <c r="CQ1" t="s">
        <v>2</v>
      </c>
      <c r="CR1" t="s">
        <v>109</v>
      </c>
      <c r="CS1" t="s">
        <v>3</v>
      </c>
      <c r="CT1" t="s">
        <v>119</v>
      </c>
      <c r="CU1" t="s">
        <v>120</v>
      </c>
      <c r="CV1" t="s">
        <v>115</v>
      </c>
      <c r="CW1" t="s">
        <v>108</v>
      </c>
      <c r="CX1" t="s">
        <v>2</v>
      </c>
      <c r="CY1" t="s">
        <v>109</v>
      </c>
      <c r="CZ1" t="s">
        <v>3</v>
      </c>
      <c r="DA1" t="s">
        <v>119</v>
      </c>
      <c r="DB1" t="s">
        <v>120</v>
      </c>
      <c r="DC1" t="s">
        <v>115</v>
      </c>
      <c r="DD1" t="s">
        <v>108</v>
      </c>
      <c r="DE1" t="s">
        <v>2</v>
      </c>
      <c r="DF1" t="s">
        <v>109</v>
      </c>
      <c r="DG1" t="s">
        <v>3</v>
      </c>
      <c r="DH1" t="s">
        <v>119</v>
      </c>
      <c r="DI1" t="s">
        <v>120</v>
      </c>
      <c r="DJ1" t="s">
        <v>115</v>
      </c>
      <c r="DK1" t="s">
        <v>108</v>
      </c>
      <c r="DL1" t="s">
        <v>2</v>
      </c>
      <c r="DM1" t="s">
        <v>109</v>
      </c>
      <c r="DN1" t="s">
        <v>3</v>
      </c>
      <c r="DO1" t="s">
        <v>119</v>
      </c>
      <c r="DP1" t="s">
        <v>120</v>
      </c>
      <c r="DQ1" t="s">
        <v>115</v>
      </c>
      <c r="DR1" t="s">
        <v>108</v>
      </c>
      <c r="DS1" t="s">
        <v>2</v>
      </c>
      <c r="DT1" t="s">
        <v>109</v>
      </c>
      <c r="DU1" t="s">
        <v>3</v>
      </c>
      <c r="DV1" t="s">
        <v>119</v>
      </c>
      <c r="DW1" t="s">
        <v>120</v>
      </c>
      <c r="DX1" t="s">
        <v>115</v>
      </c>
      <c r="DY1" t="s">
        <v>108</v>
      </c>
      <c r="DZ1" t="s">
        <v>2</v>
      </c>
      <c r="EA1" t="s">
        <v>109</v>
      </c>
      <c r="EB1" t="s">
        <v>3</v>
      </c>
      <c r="EC1" t="s">
        <v>119</v>
      </c>
      <c r="ED1" t="s">
        <v>120</v>
      </c>
      <c r="EE1" t="s">
        <v>115</v>
      </c>
      <c r="EF1" t="s">
        <v>108</v>
      </c>
      <c r="EG1" t="s">
        <v>2</v>
      </c>
      <c r="EH1" t="s">
        <v>109</v>
      </c>
      <c r="EI1" t="s">
        <v>3</v>
      </c>
      <c r="EJ1" t="s">
        <v>119</v>
      </c>
      <c r="EK1" t="s">
        <v>120</v>
      </c>
      <c r="EL1" t="s">
        <v>115</v>
      </c>
      <c r="EM1" t="s">
        <v>108</v>
      </c>
      <c r="EN1" t="s">
        <v>2</v>
      </c>
      <c r="EO1" t="s">
        <v>109</v>
      </c>
      <c r="EP1" t="s">
        <v>3</v>
      </c>
      <c r="EQ1" t="s">
        <v>119</v>
      </c>
      <c r="ER1" t="s">
        <v>120</v>
      </c>
      <c r="ES1" t="s">
        <v>115</v>
      </c>
      <c r="ET1" t="s">
        <v>108</v>
      </c>
      <c r="EU1" t="s">
        <v>2</v>
      </c>
      <c r="EV1" t="s">
        <v>109</v>
      </c>
      <c r="EW1" t="s">
        <v>3</v>
      </c>
      <c r="EX1" t="s">
        <v>123</v>
      </c>
      <c r="EY1" t="s">
        <v>123</v>
      </c>
    </row>
    <row r="2" spans="1:155" ht="221" customHeight="1" x14ac:dyDescent="0.35">
      <c r="B2" t="s">
        <v>33</v>
      </c>
      <c r="C2" s="4" t="s">
        <v>34</v>
      </c>
      <c r="D2" s="5" t="s">
        <v>35</v>
      </c>
      <c r="E2" s="5" t="s">
        <v>36</v>
      </c>
      <c r="F2" t="s">
        <v>7</v>
      </c>
      <c r="G2" s="7">
        <f t="shared" ref="G2:J2" si="0">SUM(Q2, X2, AE2, AL2, AS2, AZ2, BG2, BN2, BU2, CB2, CI2, CP2, CW2, DD2, DK2, DR2, DY2, EF2, EM2, ET2, FA2, FH2, FO2, FV2, GC2, GJ2, GQ2, GX2, HE2, HL2)</f>
        <v>0</v>
      </c>
      <c r="H2" s="7">
        <f t="shared" si="0"/>
        <v>0</v>
      </c>
      <c r="I2" s="7">
        <f t="shared" si="0"/>
        <v>0</v>
      </c>
      <c r="J2" s="7">
        <f t="shared" si="0"/>
        <v>0</v>
      </c>
    </row>
    <row r="3" spans="1:155" ht="148" x14ac:dyDescent="0.35">
      <c r="B3" t="s">
        <v>37</v>
      </c>
      <c r="C3" s="4" t="s">
        <v>38</v>
      </c>
      <c r="D3" s="5" t="s">
        <v>39</v>
      </c>
      <c r="E3" s="5" t="s">
        <v>40</v>
      </c>
      <c r="F3" t="s">
        <v>7</v>
      </c>
      <c r="G3" s="7">
        <f t="shared" ref="G3:G13" si="1">SUM(Q3, X3, AE3, AL3, AS3, AZ3, BG3, BN3, BU3, CB3, CI3, CP3, CW3, DD3, DK3, DR3, DY3, EF3, EM3, ET3, FA3, FH3, FO3, FV3, GC3, GJ3, GQ3, GX3, HE3, HL3)</f>
        <v>0</v>
      </c>
      <c r="H3" s="7">
        <f t="shared" ref="H3:H13" si="2">SUM(R3, Y3, AF3, AM3, AT3, BA3, BH3, BO3, BV3, CC3, CJ3, CQ3, CX3, DE3, DL3, DS3, DZ3, EG3, EN3, EU3, FB3, FI3, FP3, FW3, GD3, GK3, GR3, GY3, HF3, HM3)</f>
        <v>0</v>
      </c>
      <c r="I3" s="7">
        <f t="shared" ref="I3:I13" si="3">SUM(S3, Z3, AG3, AN3, AU3, BB3, BI3, BP3, BW3, CD3, CK3, CR3, CY3, DF3, DM3, DT3, EA3, EH3, EO3, EV3, FC3, FJ3, FQ3, FX3, GE3, GL3, GS3, GZ3, HG3, HN3)</f>
        <v>0</v>
      </c>
      <c r="J3" s="7">
        <f t="shared" ref="J3:J13" si="4">SUM(T3, AA3, AH3, AO3, AV3, BC3, BJ3, BQ3, BX3, CE3, CL3, CS3, CZ3, DG3, DN3, DU3, EB3, EI3, EP3, EW3, FD3, FK3, FR3, FY3, GF3, GM3, GT3, HA3, HH3, HO3)</f>
        <v>0</v>
      </c>
    </row>
    <row r="4" spans="1:155" ht="169" x14ac:dyDescent="0.35">
      <c r="B4" t="s">
        <v>41</v>
      </c>
      <c r="C4" s="4" t="s">
        <v>42</v>
      </c>
      <c r="D4" s="5" t="s">
        <v>43</v>
      </c>
      <c r="E4" s="5" t="s">
        <v>44</v>
      </c>
      <c r="F4" t="s">
        <v>7</v>
      </c>
      <c r="G4" s="7">
        <f t="shared" si="1"/>
        <v>0</v>
      </c>
      <c r="H4" s="7">
        <f t="shared" si="2"/>
        <v>0</v>
      </c>
      <c r="I4" s="7">
        <f t="shared" si="3"/>
        <v>0</v>
      </c>
      <c r="J4" s="7">
        <f t="shared" si="4"/>
        <v>0</v>
      </c>
    </row>
    <row r="5" spans="1:155" x14ac:dyDescent="0.35">
      <c r="B5" t="s">
        <v>33</v>
      </c>
      <c r="C5" s="4" t="s">
        <v>45</v>
      </c>
      <c r="G5" s="7">
        <f t="shared" si="1"/>
        <v>0</v>
      </c>
      <c r="H5" s="7">
        <f t="shared" si="2"/>
        <v>0</v>
      </c>
      <c r="I5" s="7">
        <f t="shared" si="3"/>
        <v>0</v>
      </c>
      <c r="J5" s="7">
        <f t="shared" si="4"/>
        <v>0</v>
      </c>
    </row>
    <row r="6" spans="1:155" x14ac:dyDescent="0.35">
      <c r="B6" t="s">
        <v>46</v>
      </c>
      <c r="C6" s="4" t="s">
        <v>47</v>
      </c>
      <c r="G6" s="7">
        <f t="shared" si="1"/>
        <v>0</v>
      </c>
      <c r="H6" s="7">
        <f t="shared" si="2"/>
        <v>0</v>
      </c>
      <c r="I6" s="7">
        <f t="shared" si="3"/>
        <v>0</v>
      </c>
      <c r="J6" s="7">
        <f t="shared" si="4"/>
        <v>0</v>
      </c>
    </row>
    <row r="7" spans="1:155" x14ac:dyDescent="0.35">
      <c r="B7" t="s">
        <v>48</v>
      </c>
      <c r="C7" s="4" t="s">
        <v>49</v>
      </c>
      <c r="G7" s="7">
        <f t="shared" si="1"/>
        <v>0</v>
      </c>
      <c r="H7" s="7">
        <f t="shared" si="2"/>
        <v>0</v>
      </c>
      <c r="I7" s="7">
        <f t="shared" si="3"/>
        <v>0</v>
      </c>
      <c r="J7" s="7">
        <f t="shared" si="4"/>
        <v>0</v>
      </c>
    </row>
    <row r="8" spans="1:155" x14ac:dyDescent="0.35">
      <c r="B8" t="s">
        <v>50</v>
      </c>
      <c r="C8" s="4" t="s">
        <v>51</v>
      </c>
      <c r="G8" s="7">
        <f t="shared" si="1"/>
        <v>0</v>
      </c>
      <c r="H8" s="7">
        <f t="shared" si="2"/>
        <v>0</v>
      </c>
      <c r="I8" s="7">
        <f t="shared" si="3"/>
        <v>0</v>
      </c>
      <c r="J8" s="7">
        <f t="shared" si="4"/>
        <v>0</v>
      </c>
    </row>
    <row r="9" spans="1:155" x14ac:dyDescent="0.35">
      <c r="B9" t="s">
        <v>52</v>
      </c>
      <c r="C9" s="4" t="s">
        <v>53</v>
      </c>
      <c r="G9" s="7">
        <f t="shared" si="1"/>
        <v>0</v>
      </c>
      <c r="H9" s="7">
        <f t="shared" si="2"/>
        <v>0</v>
      </c>
      <c r="I9" s="7">
        <f t="shared" si="3"/>
        <v>0</v>
      </c>
      <c r="J9" s="7">
        <f t="shared" si="4"/>
        <v>0</v>
      </c>
    </row>
    <row r="10" spans="1:155" x14ac:dyDescent="0.35">
      <c r="B10" t="s">
        <v>54</v>
      </c>
      <c r="C10" s="4" t="s">
        <v>55</v>
      </c>
      <c r="G10" s="7">
        <f t="shared" si="1"/>
        <v>0</v>
      </c>
      <c r="H10" s="7">
        <f t="shared" si="2"/>
        <v>0</v>
      </c>
      <c r="I10" s="7">
        <f t="shared" si="3"/>
        <v>0</v>
      </c>
      <c r="J10" s="7">
        <f t="shared" si="4"/>
        <v>0</v>
      </c>
    </row>
    <row r="11" spans="1:155" x14ac:dyDescent="0.35">
      <c r="B11" t="s">
        <v>56</v>
      </c>
      <c r="C11" s="4" t="s">
        <v>57</v>
      </c>
      <c r="G11" s="7">
        <f t="shared" si="1"/>
        <v>0</v>
      </c>
      <c r="H11" s="7">
        <f t="shared" si="2"/>
        <v>0</v>
      </c>
      <c r="I11" s="7">
        <f t="shared" si="3"/>
        <v>0</v>
      </c>
      <c r="J11" s="7">
        <f t="shared" si="4"/>
        <v>0</v>
      </c>
    </row>
    <row r="12" spans="1:155" x14ac:dyDescent="0.35">
      <c r="B12" t="s">
        <v>58</v>
      </c>
      <c r="C12" t="s">
        <v>59</v>
      </c>
      <c r="D12"/>
      <c r="G12" s="7">
        <f t="shared" si="1"/>
        <v>0</v>
      </c>
      <c r="H12" s="7">
        <f t="shared" si="2"/>
        <v>0</v>
      </c>
      <c r="I12" s="7">
        <f t="shared" si="3"/>
        <v>0</v>
      </c>
      <c r="J12" s="7">
        <f t="shared" si="4"/>
        <v>0</v>
      </c>
    </row>
    <row r="13" spans="1:155" x14ac:dyDescent="0.35">
      <c r="B13" t="s">
        <v>60</v>
      </c>
      <c r="C13" t="s">
        <v>61</v>
      </c>
      <c r="G13" s="7">
        <f t="shared" si="1"/>
        <v>0</v>
      </c>
      <c r="H13" s="7">
        <f t="shared" si="2"/>
        <v>0</v>
      </c>
      <c r="I13" s="7">
        <f t="shared" si="3"/>
        <v>0</v>
      </c>
      <c r="J13" s="7">
        <f t="shared" si="4"/>
        <v>0</v>
      </c>
    </row>
  </sheetData>
  <hyperlinks>
    <hyperlink ref="C2" r:id="rId1" xr:uid="{D93B379B-B411-4DFE-800C-DD072164E1FB}"/>
    <hyperlink ref="C3" r:id="rId2" xr:uid="{27C43DCA-67E2-4474-8672-1F8FBB0F00D0}"/>
    <hyperlink ref="C4" r:id="rId3" xr:uid="{44D66711-5D99-4FA5-8019-388AD1D409E4}"/>
    <hyperlink ref="C5" r:id="rId4" xr:uid="{E6306E03-97E0-49D3-AF2F-63EC6CFFA37A}"/>
    <hyperlink ref="C6" r:id="rId5" xr:uid="{EC5FB638-22CE-4ACD-B984-C25B91F415B5}"/>
    <hyperlink ref="C7" r:id="rId6" xr:uid="{21F90F34-E726-4513-8175-C4EFA9B37519}"/>
    <hyperlink ref="C8" r:id="rId7" xr:uid="{BF8ED3ED-8B0E-4918-A499-D2DA853E3371}"/>
    <hyperlink ref="C9" r:id="rId8" xr:uid="{2988D63E-BA2E-4A44-AB4F-2CC40A6BAF63}"/>
    <hyperlink ref="C10" r:id="rId9" xr:uid="{58ABBB33-D8EF-4CD9-821A-27FFF5DF28EB}"/>
    <hyperlink ref="C11" r:id="rId10" xr:uid="{0F0A6E84-9AB4-4C87-A66F-7E71443374D8}"/>
  </hyperlinks>
  <pageMargins left="0.7" right="0.7" top="0.78740157499999996" bottom="0.78740157499999996" header="0.3" footer="0.3"/>
  <pageSetup paperSize="9" orientation="portrait" r:id="rId11"/>
  <legacyDrawing r:id="rId1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45326-A9CC-438D-AB4E-81CCDB61BCF9}">
  <sheetPr codeName="Sheet3"/>
  <dimension ref="A1:EX13"/>
  <sheetViews>
    <sheetView workbookViewId="0">
      <pane ySplit="1" topLeftCell="A2" activePane="bottomLeft" state="frozen"/>
      <selection pane="bottomLeft" activeCell="B37" sqref="B37"/>
    </sheetView>
  </sheetViews>
  <sheetFormatPr defaultColWidth="10.90625" defaultRowHeight="14.5" outlineLevelCol="1" x14ac:dyDescent="0.35"/>
  <cols>
    <col min="2" max="2" width="18.6328125" customWidth="1"/>
    <col min="3" max="3" width="66.54296875" customWidth="1"/>
    <col min="4" max="4" width="17.81640625" customWidth="1"/>
    <col min="5" max="7" width="18.6328125" customWidth="1"/>
    <col min="14" max="14" width="0" hidden="1" customWidth="1" outlineLevel="1"/>
    <col min="15" max="153" width="10.90625" hidden="1" customWidth="1" outlineLevel="1"/>
    <col min="154" max="154" width="10.90625" collapsed="1"/>
  </cols>
  <sheetData>
    <row r="1" spans="1:154" x14ac:dyDescent="0.35">
      <c r="A1" t="s">
        <v>0</v>
      </c>
      <c r="B1" t="s">
        <v>112</v>
      </c>
      <c r="C1" t="s">
        <v>1</v>
      </c>
      <c r="D1" t="s">
        <v>113</v>
      </c>
      <c r="E1" s="1" t="s">
        <v>114</v>
      </c>
      <c r="F1" s="1" t="s">
        <v>115</v>
      </c>
      <c r="G1" t="s">
        <v>108</v>
      </c>
      <c r="H1" t="s">
        <v>2</v>
      </c>
      <c r="I1" t="s">
        <v>109</v>
      </c>
      <c r="J1" t="s">
        <v>3</v>
      </c>
      <c r="K1" t="s">
        <v>116</v>
      </c>
      <c r="L1" t="s">
        <v>117</v>
      </c>
      <c r="M1" s="1" t="s">
        <v>118</v>
      </c>
      <c r="N1" t="s">
        <v>119</v>
      </c>
      <c r="O1" t="s">
        <v>120</v>
      </c>
      <c r="P1" t="s">
        <v>115</v>
      </c>
      <c r="Q1" t="s">
        <v>108</v>
      </c>
      <c r="R1" t="s">
        <v>2</v>
      </c>
      <c r="S1" t="s">
        <v>109</v>
      </c>
      <c r="T1" t="s">
        <v>3</v>
      </c>
      <c r="U1" t="s">
        <v>119</v>
      </c>
      <c r="V1" t="s">
        <v>120</v>
      </c>
      <c r="W1" t="s">
        <v>115</v>
      </c>
      <c r="X1" t="s">
        <v>108</v>
      </c>
      <c r="Y1" t="s">
        <v>2</v>
      </c>
      <c r="Z1" t="s">
        <v>109</v>
      </c>
      <c r="AA1" t="s">
        <v>3</v>
      </c>
      <c r="AB1" t="s">
        <v>119</v>
      </c>
      <c r="AC1" t="s">
        <v>120</v>
      </c>
      <c r="AD1" t="s">
        <v>115</v>
      </c>
      <c r="AE1" t="s">
        <v>108</v>
      </c>
      <c r="AF1" t="s">
        <v>2</v>
      </c>
      <c r="AG1" t="s">
        <v>109</v>
      </c>
      <c r="AH1" t="s">
        <v>3</v>
      </c>
      <c r="AI1" t="s">
        <v>119</v>
      </c>
      <c r="AJ1" t="s">
        <v>120</v>
      </c>
      <c r="AK1" t="s">
        <v>115</v>
      </c>
      <c r="AL1" t="s">
        <v>108</v>
      </c>
      <c r="AM1" t="s">
        <v>2</v>
      </c>
      <c r="AN1" t="s">
        <v>109</v>
      </c>
      <c r="AO1" t="s">
        <v>3</v>
      </c>
      <c r="AP1" t="s">
        <v>119</v>
      </c>
      <c r="AQ1" t="s">
        <v>120</v>
      </c>
      <c r="AR1" t="s">
        <v>115</v>
      </c>
      <c r="AS1" t="s">
        <v>108</v>
      </c>
      <c r="AT1" t="s">
        <v>2</v>
      </c>
      <c r="AU1" t="s">
        <v>109</v>
      </c>
      <c r="AV1" t="s">
        <v>3</v>
      </c>
      <c r="AW1" t="s">
        <v>119</v>
      </c>
      <c r="AX1" t="s">
        <v>120</v>
      </c>
      <c r="AY1" t="s">
        <v>115</v>
      </c>
      <c r="AZ1" t="s">
        <v>108</v>
      </c>
      <c r="BA1" t="s">
        <v>2</v>
      </c>
      <c r="BB1" t="s">
        <v>109</v>
      </c>
      <c r="BC1" t="s">
        <v>3</v>
      </c>
      <c r="BD1" t="s">
        <v>119</v>
      </c>
      <c r="BE1" t="s">
        <v>120</v>
      </c>
      <c r="BF1" t="s">
        <v>115</v>
      </c>
      <c r="BG1" t="s">
        <v>108</v>
      </c>
      <c r="BH1" t="s">
        <v>2</v>
      </c>
      <c r="BI1" t="s">
        <v>109</v>
      </c>
      <c r="BJ1" t="s">
        <v>3</v>
      </c>
      <c r="BK1" t="s">
        <v>119</v>
      </c>
      <c r="BL1" t="s">
        <v>120</v>
      </c>
      <c r="BM1" t="s">
        <v>115</v>
      </c>
      <c r="BN1" t="s">
        <v>108</v>
      </c>
      <c r="BO1" t="s">
        <v>2</v>
      </c>
      <c r="BP1" t="s">
        <v>109</v>
      </c>
      <c r="BQ1" t="s">
        <v>3</v>
      </c>
      <c r="BR1" t="s">
        <v>119</v>
      </c>
      <c r="BS1" t="s">
        <v>120</v>
      </c>
      <c r="BT1" t="s">
        <v>115</v>
      </c>
      <c r="BU1" t="s">
        <v>108</v>
      </c>
      <c r="BV1" t="s">
        <v>2</v>
      </c>
      <c r="BW1" t="s">
        <v>109</v>
      </c>
      <c r="BX1" t="s">
        <v>3</v>
      </c>
      <c r="BY1" t="s">
        <v>119</v>
      </c>
      <c r="BZ1" t="s">
        <v>120</v>
      </c>
      <c r="CA1" t="s">
        <v>115</v>
      </c>
      <c r="CB1" t="s">
        <v>108</v>
      </c>
      <c r="CC1" t="s">
        <v>2</v>
      </c>
      <c r="CD1" t="s">
        <v>109</v>
      </c>
      <c r="CE1" t="s">
        <v>3</v>
      </c>
      <c r="CF1" t="s">
        <v>119</v>
      </c>
      <c r="CG1" t="s">
        <v>120</v>
      </c>
      <c r="CH1" t="s">
        <v>115</v>
      </c>
      <c r="CI1" t="s">
        <v>108</v>
      </c>
      <c r="CJ1" t="s">
        <v>2</v>
      </c>
      <c r="CK1" t="s">
        <v>109</v>
      </c>
      <c r="CL1" t="s">
        <v>3</v>
      </c>
      <c r="CM1" t="s">
        <v>119</v>
      </c>
      <c r="CN1" t="s">
        <v>120</v>
      </c>
      <c r="CO1" t="s">
        <v>115</v>
      </c>
      <c r="CP1" t="s">
        <v>108</v>
      </c>
      <c r="CQ1" t="s">
        <v>2</v>
      </c>
      <c r="CR1" t="s">
        <v>109</v>
      </c>
      <c r="CS1" t="s">
        <v>3</v>
      </c>
      <c r="CT1" t="s">
        <v>119</v>
      </c>
      <c r="CU1" t="s">
        <v>120</v>
      </c>
      <c r="CV1" t="s">
        <v>115</v>
      </c>
      <c r="CW1" t="s">
        <v>108</v>
      </c>
      <c r="CX1" t="s">
        <v>2</v>
      </c>
      <c r="CY1" t="s">
        <v>109</v>
      </c>
      <c r="CZ1" t="s">
        <v>3</v>
      </c>
      <c r="DA1" t="s">
        <v>119</v>
      </c>
      <c r="DB1" t="s">
        <v>120</v>
      </c>
      <c r="DC1" t="s">
        <v>115</v>
      </c>
      <c r="DD1" t="s">
        <v>108</v>
      </c>
      <c r="DE1" t="s">
        <v>2</v>
      </c>
      <c r="DF1" t="s">
        <v>109</v>
      </c>
      <c r="DG1" t="s">
        <v>3</v>
      </c>
      <c r="DH1" t="s">
        <v>119</v>
      </c>
      <c r="DI1" t="s">
        <v>120</v>
      </c>
      <c r="DJ1" t="s">
        <v>115</v>
      </c>
      <c r="DK1" t="s">
        <v>108</v>
      </c>
      <c r="DL1" t="s">
        <v>2</v>
      </c>
      <c r="DM1" t="s">
        <v>109</v>
      </c>
      <c r="DN1" t="s">
        <v>3</v>
      </c>
      <c r="DO1" t="s">
        <v>119</v>
      </c>
      <c r="DP1" t="s">
        <v>120</v>
      </c>
      <c r="DQ1" t="s">
        <v>115</v>
      </c>
      <c r="DR1" t="s">
        <v>108</v>
      </c>
      <c r="DS1" t="s">
        <v>2</v>
      </c>
      <c r="DT1" t="s">
        <v>109</v>
      </c>
      <c r="DU1" t="s">
        <v>3</v>
      </c>
      <c r="DV1" t="s">
        <v>119</v>
      </c>
      <c r="DW1" t="s">
        <v>120</v>
      </c>
      <c r="DX1" t="s">
        <v>115</v>
      </c>
      <c r="DY1" t="s">
        <v>108</v>
      </c>
      <c r="DZ1" t="s">
        <v>2</v>
      </c>
      <c r="EA1" t="s">
        <v>109</v>
      </c>
      <c r="EB1" t="s">
        <v>3</v>
      </c>
      <c r="EC1" t="s">
        <v>119</v>
      </c>
      <c r="ED1" t="s">
        <v>120</v>
      </c>
      <c r="EE1" t="s">
        <v>115</v>
      </c>
      <c r="EF1" t="s">
        <v>108</v>
      </c>
      <c r="EG1" t="s">
        <v>2</v>
      </c>
      <c r="EH1" t="s">
        <v>109</v>
      </c>
      <c r="EI1" t="s">
        <v>3</v>
      </c>
      <c r="EJ1" t="s">
        <v>119</v>
      </c>
      <c r="EK1" t="s">
        <v>120</v>
      </c>
      <c r="EL1" t="s">
        <v>115</v>
      </c>
      <c r="EM1" t="s">
        <v>108</v>
      </c>
      <c r="EN1" t="s">
        <v>2</v>
      </c>
      <c r="EO1" t="s">
        <v>109</v>
      </c>
      <c r="EP1" t="s">
        <v>3</v>
      </c>
      <c r="EQ1" t="s">
        <v>119</v>
      </c>
      <c r="ER1" t="s">
        <v>120</v>
      </c>
      <c r="ES1" t="s">
        <v>115</v>
      </c>
      <c r="ET1" t="s">
        <v>108</v>
      </c>
      <c r="EU1" t="s">
        <v>2</v>
      </c>
      <c r="EV1" t="s">
        <v>109</v>
      </c>
      <c r="EW1" t="s">
        <v>3</v>
      </c>
      <c r="EX1" t="s">
        <v>123</v>
      </c>
    </row>
    <row r="2" spans="1:154" x14ac:dyDescent="0.35">
      <c r="B2" t="s">
        <v>62</v>
      </c>
      <c r="C2" s="4" t="s">
        <v>63</v>
      </c>
      <c r="F2" t="s">
        <v>7</v>
      </c>
      <c r="G2" s="7">
        <f t="shared" ref="G2:J2" si="0">SUM(Q2, X2, AE2, AL2, AS2, AZ2, BG2, BN2, BU2, CB2, CI2, CP2, CW2, DD2, DK2, DR2, DY2, EF2, EM2, ET2, FA2, FH2, FO2, FV2, GC2, GJ2, GQ2, GX2, HE2, HL2)</f>
        <v>0</v>
      </c>
      <c r="H2" s="7">
        <f t="shared" si="0"/>
        <v>0</v>
      </c>
      <c r="I2" s="7">
        <f t="shared" si="0"/>
        <v>0</v>
      </c>
      <c r="J2" s="7">
        <f t="shared" si="0"/>
        <v>0</v>
      </c>
      <c r="K2" t="s">
        <v>8</v>
      </c>
      <c r="L2">
        <v>8</v>
      </c>
    </row>
    <row r="3" spans="1:154" x14ac:dyDescent="0.35">
      <c r="B3" t="s">
        <v>64</v>
      </c>
      <c r="C3" t="s">
        <v>65</v>
      </c>
      <c r="F3" t="s">
        <v>7</v>
      </c>
      <c r="G3" s="7">
        <f t="shared" ref="G3:G13" si="1">SUM(Q3, X3, AE3, AL3, AS3, AZ3, BG3, BN3, BU3, CB3, CI3, CP3, CW3, DD3, DK3, DR3, DY3, EF3, EM3, ET3, FA3, FH3, FO3, FV3, GC3, GJ3, GQ3, GX3, HE3, HL3)</f>
        <v>0</v>
      </c>
      <c r="H3" s="7">
        <f t="shared" ref="H3:H13" si="2">SUM(R3, Y3, AF3, AM3, AT3, BA3, BH3, BO3, BV3, CC3, CJ3, CQ3, CX3, DE3, DL3, DS3, DZ3, EG3, EN3, EU3, FB3, FI3, FP3, FW3, GD3, GK3, GR3, GY3, HF3, HM3)</f>
        <v>0</v>
      </c>
      <c r="I3" s="7">
        <f t="shared" ref="I3:I13" si="3">SUM(S3, Z3, AG3, AN3, AU3, BB3, BI3, BP3, BW3, CD3, CK3, CR3, CY3, DF3, DM3, DT3, EA3, EH3, EO3, EV3, FC3, FJ3, FQ3, FX3, GE3, GL3, GS3, GZ3, HG3, HN3)</f>
        <v>0</v>
      </c>
      <c r="J3" s="7">
        <f t="shared" ref="J3:J13" si="4">SUM(T3, AA3, AH3, AO3, AV3, BC3, BJ3, BQ3, BX3, CE3, CL3, CS3, CZ3, DG3, DN3, DU3, EB3, EI3, EP3, EW3, FD3, FK3, FR3, FY3, GF3, GM3, GT3, HA3, HH3, HO3)</f>
        <v>0</v>
      </c>
    </row>
    <row r="4" spans="1:154" x14ac:dyDescent="0.35">
      <c r="B4" t="s">
        <v>66</v>
      </c>
      <c r="C4" t="s">
        <v>67</v>
      </c>
      <c r="F4" t="s">
        <v>7</v>
      </c>
      <c r="G4" s="7">
        <f t="shared" si="1"/>
        <v>0</v>
      </c>
      <c r="H4" s="7">
        <f t="shared" si="2"/>
        <v>0</v>
      </c>
      <c r="I4" s="7">
        <f t="shared" si="3"/>
        <v>0</v>
      </c>
      <c r="J4" s="7">
        <f t="shared" si="4"/>
        <v>0</v>
      </c>
    </row>
    <row r="5" spans="1:154" x14ac:dyDescent="0.35">
      <c r="B5" t="s">
        <v>68</v>
      </c>
      <c r="C5" t="s">
        <v>69</v>
      </c>
      <c r="F5" t="s">
        <v>7</v>
      </c>
      <c r="G5" s="7">
        <f t="shared" si="1"/>
        <v>0</v>
      </c>
      <c r="H5" s="7">
        <f t="shared" si="2"/>
        <v>0</v>
      </c>
      <c r="I5" s="7">
        <f t="shared" si="3"/>
        <v>0</v>
      </c>
      <c r="J5" s="7">
        <f t="shared" si="4"/>
        <v>0</v>
      </c>
    </row>
    <row r="6" spans="1:154" x14ac:dyDescent="0.35">
      <c r="B6" t="s">
        <v>70</v>
      </c>
      <c r="C6" t="s">
        <v>71</v>
      </c>
      <c r="F6" t="s">
        <v>7</v>
      </c>
      <c r="G6" s="7">
        <f t="shared" si="1"/>
        <v>0</v>
      </c>
      <c r="H6" s="7">
        <f t="shared" si="2"/>
        <v>0</v>
      </c>
      <c r="I6" s="7">
        <f t="shared" si="3"/>
        <v>0</v>
      </c>
      <c r="J6" s="7">
        <f t="shared" si="4"/>
        <v>0</v>
      </c>
    </row>
    <row r="7" spans="1:154" x14ac:dyDescent="0.35">
      <c r="B7" t="s">
        <v>72</v>
      </c>
      <c r="C7" s="4" t="s">
        <v>73</v>
      </c>
      <c r="F7" t="s">
        <v>7</v>
      </c>
      <c r="G7" s="7">
        <f t="shared" si="1"/>
        <v>0</v>
      </c>
      <c r="H7" s="7">
        <f t="shared" si="2"/>
        <v>0</v>
      </c>
      <c r="I7" s="7">
        <f t="shared" si="3"/>
        <v>0</v>
      </c>
      <c r="J7" s="7">
        <f t="shared" si="4"/>
        <v>0</v>
      </c>
    </row>
    <row r="8" spans="1:154" x14ac:dyDescent="0.35">
      <c r="B8" t="s">
        <v>74</v>
      </c>
      <c r="C8" s="4" t="s">
        <v>75</v>
      </c>
      <c r="F8" t="s">
        <v>7</v>
      </c>
      <c r="G8" s="7">
        <f t="shared" si="1"/>
        <v>0</v>
      </c>
      <c r="H8" s="7">
        <f t="shared" si="2"/>
        <v>0</v>
      </c>
      <c r="I8" s="7">
        <f t="shared" si="3"/>
        <v>0</v>
      </c>
      <c r="J8" s="7">
        <f t="shared" si="4"/>
        <v>0</v>
      </c>
    </row>
    <row r="9" spans="1:154" x14ac:dyDescent="0.35">
      <c r="B9" t="s">
        <v>76</v>
      </c>
      <c r="C9" s="4" t="s">
        <v>77</v>
      </c>
      <c r="F9" t="s">
        <v>7</v>
      </c>
      <c r="G9" s="7">
        <f t="shared" si="1"/>
        <v>0</v>
      </c>
      <c r="H9" s="7">
        <f t="shared" si="2"/>
        <v>0</v>
      </c>
      <c r="I9" s="7">
        <f t="shared" si="3"/>
        <v>0</v>
      </c>
      <c r="J9" s="7">
        <f t="shared" si="4"/>
        <v>0</v>
      </c>
    </row>
    <row r="10" spans="1:154" x14ac:dyDescent="0.35">
      <c r="B10" t="s">
        <v>78</v>
      </c>
      <c r="C10" s="4" t="s">
        <v>79</v>
      </c>
      <c r="F10" t="s">
        <v>7</v>
      </c>
      <c r="G10" s="7">
        <f t="shared" si="1"/>
        <v>0</v>
      </c>
      <c r="H10" s="7">
        <f t="shared" si="2"/>
        <v>0</v>
      </c>
      <c r="I10" s="7">
        <f t="shared" si="3"/>
        <v>0</v>
      </c>
      <c r="J10" s="7">
        <f t="shared" si="4"/>
        <v>0</v>
      </c>
    </row>
    <row r="11" spans="1:154" x14ac:dyDescent="0.35">
      <c r="B11" t="s">
        <v>80</v>
      </c>
      <c r="C11" t="s">
        <v>81</v>
      </c>
      <c r="F11" t="s">
        <v>7</v>
      </c>
      <c r="G11" s="7">
        <f t="shared" si="1"/>
        <v>0</v>
      </c>
      <c r="H11" s="7">
        <f t="shared" si="2"/>
        <v>0</v>
      </c>
      <c r="I11" s="7">
        <f t="shared" si="3"/>
        <v>0</v>
      </c>
      <c r="J11" s="7">
        <f t="shared" si="4"/>
        <v>0</v>
      </c>
    </row>
    <row r="12" spans="1:154" ht="174" x14ac:dyDescent="0.35">
      <c r="B12" t="s">
        <v>82</v>
      </c>
      <c r="D12" s="3" t="s">
        <v>83</v>
      </c>
      <c r="F12" t="s">
        <v>7</v>
      </c>
      <c r="G12" s="7">
        <f t="shared" si="1"/>
        <v>0</v>
      </c>
      <c r="H12" s="7">
        <f t="shared" si="2"/>
        <v>0</v>
      </c>
      <c r="I12" s="7">
        <f t="shared" si="3"/>
        <v>0</v>
      </c>
      <c r="J12" s="7">
        <f t="shared" si="4"/>
        <v>0</v>
      </c>
      <c r="K12" t="s">
        <v>8</v>
      </c>
      <c r="L12">
        <v>8</v>
      </c>
    </row>
    <row r="13" spans="1:154" ht="130.5" x14ac:dyDescent="0.35">
      <c r="B13" t="s">
        <v>84</v>
      </c>
      <c r="D13" s="2" t="s">
        <v>85</v>
      </c>
      <c r="F13" t="s">
        <v>7</v>
      </c>
      <c r="G13" s="7">
        <f t="shared" si="1"/>
        <v>0</v>
      </c>
      <c r="H13" s="7">
        <f t="shared" si="2"/>
        <v>0</v>
      </c>
      <c r="I13" s="7">
        <f t="shared" si="3"/>
        <v>0</v>
      </c>
      <c r="J13" s="7">
        <f t="shared" si="4"/>
        <v>0</v>
      </c>
    </row>
  </sheetData>
  <hyperlinks>
    <hyperlink ref="C10" r:id="rId1" xr:uid="{0F4C4B9A-6928-497A-8444-D592443E147A}"/>
    <hyperlink ref="C7" r:id="rId2" xr:uid="{213171C0-0EC6-49F1-B3B6-718DB5437810}"/>
    <hyperlink ref="C2" r:id="rId3" xr:uid="{376024F5-DF5A-436F-A73F-0BB4B311D2E4}"/>
    <hyperlink ref="C8" r:id="rId4" xr:uid="{F59190DD-DC4E-45F1-970D-6F6C3C0AFDCE}"/>
    <hyperlink ref="C9" r:id="rId5" xr:uid="{9CF2B42C-6D87-49ED-B6AE-3DB02D1C41D4}"/>
  </hyperlinks>
  <pageMargins left="0.7" right="0.7" top="0.78740157499999996" bottom="0.78740157499999996" header="0.3" footer="0.3"/>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ED44A-A1A2-4C15-A83D-9A3EA1E53CDE}">
  <sheetPr codeName="Sheet4"/>
  <dimension ref="A1:K15"/>
  <sheetViews>
    <sheetView workbookViewId="0">
      <selection activeCell="I20" sqref="I20"/>
    </sheetView>
  </sheetViews>
  <sheetFormatPr defaultColWidth="8.90625" defaultRowHeight="14.5" x14ac:dyDescent="0.35"/>
  <cols>
    <col min="1" max="1" width="19.1796875" bestFit="1" customWidth="1"/>
    <col min="2" max="2" width="37.08984375" bestFit="1" customWidth="1"/>
    <col min="3" max="3" width="15.6328125" bestFit="1" customWidth="1"/>
    <col min="4" max="4" width="14.453125" bestFit="1" customWidth="1"/>
    <col min="5" max="5" width="7.6328125" bestFit="1" customWidth="1"/>
    <col min="6" max="6" width="6.81640625" bestFit="1" customWidth="1"/>
    <col min="7" max="7" width="4.6328125" bestFit="1" customWidth="1"/>
    <col min="8" max="8" width="13.08984375" bestFit="1" customWidth="1"/>
    <col min="9" max="9" width="19.1796875" bestFit="1" customWidth="1"/>
    <col min="10" max="10" width="19.1796875" customWidth="1"/>
    <col min="11" max="11" width="91.81640625" bestFit="1" customWidth="1"/>
  </cols>
  <sheetData>
    <row r="1" spans="1:11" x14ac:dyDescent="0.35">
      <c r="A1" t="s">
        <v>86</v>
      </c>
      <c r="B1" t="s">
        <v>107</v>
      </c>
      <c r="C1" t="s">
        <v>87</v>
      </c>
      <c r="D1" t="s">
        <v>88</v>
      </c>
      <c r="E1" t="s">
        <v>108</v>
      </c>
      <c r="F1" t="s">
        <v>2</v>
      </c>
      <c r="G1" t="s">
        <v>109</v>
      </c>
      <c r="H1" t="s">
        <v>3</v>
      </c>
      <c r="I1" t="s">
        <v>110</v>
      </c>
      <c r="J1" t="s">
        <v>122</v>
      </c>
      <c r="K1" t="s">
        <v>111</v>
      </c>
    </row>
    <row r="2" spans="1:11" x14ac:dyDescent="0.35">
      <c r="A2" t="s">
        <v>90</v>
      </c>
    </row>
    <row r="3" spans="1:11" x14ac:dyDescent="0.35">
      <c r="A3" t="s">
        <v>92</v>
      </c>
    </row>
    <row r="4" spans="1:11" x14ac:dyDescent="0.35">
      <c r="A4" t="s">
        <v>93</v>
      </c>
    </row>
    <row r="5" spans="1:11" x14ac:dyDescent="0.35">
      <c r="A5" t="s">
        <v>94</v>
      </c>
    </row>
    <row r="6" spans="1:11" x14ac:dyDescent="0.35">
      <c r="A6" t="s">
        <v>96</v>
      </c>
      <c r="K6" s="4"/>
    </row>
    <row r="7" spans="1:11" x14ac:dyDescent="0.35">
      <c r="A7" t="s">
        <v>97</v>
      </c>
    </row>
    <row r="8" spans="1:11" x14ac:dyDescent="0.35">
      <c r="A8" t="s">
        <v>98</v>
      </c>
    </row>
    <row r="9" spans="1:11" x14ac:dyDescent="0.35">
      <c r="A9" t="s">
        <v>100</v>
      </c>
    </row>
    <row r="10" spans="1:11" x14ac:dyDescent="0.35">
      <c r="A10" t="s">
        <v>101</v>
      </c>
    </row>
    <row r="11" spans="1:11" x14ac:dyDescent="0.35">
      <c r="A11" t="s">
        <v>102</v>
      </c>
    </row>
    <row r="12" spans="1:11" x14ac:dyDescent="0.35">
      <c r="A12" t="s">
        <v>103</v>
      </c>
    </row>
    <row r="13" spans="1:11" x14ac:dyDescent="0.35">
      <c r="A13" t="s">
        <v>104</v>
      </c>
    </row>
    <row r="14" spans="1:11" x14ac:dyDescent="0.35">
      <c r="A14" t="s">
        <v>105</v>
      </c>
    </row>
    <row r="15" spans="1:11" x14ac:dyDescent="0.35">
      <c r="A15" t="s">
        <v>106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Overview</vt:lpstr>
      <vt:lpstr>Desserts</vt:lpstr>
      <vt:lpstr>Breakfast</vt:lpstr>
      <vt:lpstr>Lunch</vt:lpstr>
      <vt:lpstr>Ingredients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 Kleine Bösing</dc:creator>
  <cp:keywords/>
  <dc:description/>
  <cp:lastModifiedBy>Felix Kleine Bösing</cp:lastModifiedBy>
  <cp:revision/>
  <dcterms:created xsi:type="dcterms:W3CDTF">2015-06-05T18:19:34Z</dcterms:created>
  <dcterms:modified xsi:type="dcterms:W3CDTF">2023-03-02T13:21:09Z</dcterms:modified>
  <cp:category/>
  <cp:contentStatus/>
</cp:coreProperties>
</file>